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rose\Downloads\"/>
    </mc:Choice>
  </mc:AlternateContent>
  <xr:revisionPtr revIDLastSave="0" documentId="13_ncr:1_{42B66B7F-63A0-48BE-BE8B-3EC40D10CA63}" xr6:coauthVersionLast="47" xr6:coauthVersionMax="47" xr10:uidLastSave="{00000000-0000-0000-0000-000000000000}"/>
  <bookViews>
    <workbookView xWindow="-28920" yWindow="-2970" windowWidth="29040" windowHeight="15720" tabRatio="441" xr2:uid="{00000000-000D-0000-FFFF-FFFF00000000}"/>
  </bookViews>
  <sheets>
    <sheet name="Detalle Estimaciones" sheetId="1" r:id="rId1"/>
  </sheets>
  <externalReferences>
    <externalReference r:id="rId2"/>
  </externalReferences>
  <definedNames>
    <definedName name="_xlnm._FilterDatabase" localSheetId="0" hidden="1">'Detalle Estimaciones'!$B$14:$AA$64</definedName>
    <definedName name="Afirme2">NA()</definedName>
    <definedName name="AFP_Crecer">NA()</definedName>
    <definedName name="Asomif">NA()</definedName>
    <definedName name="Atlantida">NA()</definedName>
    <definedName name="Bantrab">NA()</definedName>
    <definedName name="boletos">NA()</definedName>
    <definedName name="Clasificación">NA()</definedName>
    <definedName name="COEN">NA()</definedName>
    <definedName name="f_inicio">NA()</definedName>
    <definedName name="Fundevi">NA()</definedName>
    <definedName name="hospedaje">NA()</definedName>
    <definedName name="JFN">[1]JFN!$C$1</definedName>
    <definedName name="Mercantil">NA()</definedName>
    <definedName name="otros">NA()</definedName>
    <definedName name="Pais">NA()</definedName>
    <definedName name="Prestamos">NA()</definedName>
    <definedName name="Prima">NA()</definedName>
    <definedName name="Redimif">"#REF!"</definedName>
    <definedName name="referencia">NA()</definedName>
    <definedName name="Sicveca">NA()</definedName>
    <definedName name="SYSRETAIL">NA()</definedName>
    <definedName name="Tacna_IIP">NA()</definedName>
    <definedName name="Tlaxcala">"#REF!"</definedName>
    <definedName name="totaldireccion">NA()</definedName>
    <definedName name="totalpersonal">NA()</definedName>
    <definedName name="Union">"#REF!"</definedName>
    <definedName name="version">NA()</definedName>
    <definedName name="viaticos">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16" i="1" l="1"/>
  <c r="R17" i="1"/>
  <c r="R18" i="1"/>
  <c r="R65" i="1" s="1"/>
  <c r="R19" i="1"/>
  <c r="AA19" i="1" s="1"/>
  <c r="R20" i="1"/>
  <c r="R21" i="1"/>
  <c r="R22" i="1"/>
  <c r="AA22" i="1" s="1"/>
  <c r="R23" i="1"/>
  <c r="AA23" i="1" s="1"/>
  <c r="R24" i="1"/>
  <c r="R25" i="1"/>
  <c r="R26" i="1"/>
  <c r="AA26" i="1" s="1"/>
  <c r="R27" i="1"/>
  <c r="AA27" i="1" s="1"/>
  <c r="R28" i="1"/>
  <c r="R29" i="1"/>
  <c r="R30" i="1"/>
  <c r="AA30" i="1" s="1"/>
  <c r="R31" i="1"/>
  <c r="AA31" i="1" s="1"/>
  <c r="R32" i="1"/>
  <c r="R33" i="1"/>
  <c r="R34" i="1"/>
  <c r="R35" i="1"/>
  <c r="AA35" i="1" s="1"/>
  <c r="R36" i="1"/>
  <c r="R37" i="1"/>
  <c r="R38" i="1"/>
  <c r="AA38" i="1" s="1"/>
  <c r="R39" i="1"/>
  <c r="AA39" i="1" s="1"/>
  <c r="R40" i="1"/>
  <c r="R41" i="1"/>
  <c r="R42" i="1"/>
  <c r="AA42" i="1" s="1"/>
  <c r="R43" i="1"/>
  <c r="AA43" i="1" s="1"/>
  <c r="R44" i="1"/>
  <c r="R45" i="1"/>
  <c r="R46" i="1"/>
  <c r="R47" i="1"/>
  <c r="AA47" i="1" s="1"/>
  <c r="R48" i="1"/>
  <c r="R49" i="1"/>
  <c r="R50" i="1"/>
  <c r="R51" i="1"/>
  <c r="AA51" i="1" s="1"/>
  <c r="R52" i="1"/>
  <c r="R53" i="1"/>
  <c r="R54" i="1"/>
  <c r="R55" i="1"/>
  <c r="AA55" i="1" s="1"/>
  <c r="R56" i="1"/>
  <c r="R57" i="1"/>
  <c r="R58" i="1"/>
  <c r="R59" i="1"/>
  <c r="R60" i="1"/>
  <c r="R61" i="1"/>
  <c r="R62" i="1"/>
  <c r="R63" i="1"/>
  <c r="R64" i="1"/>
  <c r="AE15" i="1"/>
  <c r="AB16" i="1"/>
  <c r="AB17" i="1"/>
  <c r="AB18" i="1"/>
  <c r="AB19" i="1"/>
  <c r="AB20" i="1"/>
  <c r="AB21" i="1"/>
  <c r="AB22" i="1"/>
  <c r="AB23" i="1"/>
  <c r="AB24" i="1"/>
  <c r="AB25" i="1"/>
  <c r="AB26" i="1"/>
  <c r="AB27" i="1"/>
  <c r="AB28" i="1"/>
  <c r="AB29" i="1"/>
  <c r="AB30" i="1"/>
  <c r="AB31" i="1"/>
  <c r="AB32" i="1"/>
  <c r="AB33" i="1"/>
  <c r="AB35" i="1"/>
  <c r="AB36" i="1"/>
  <c r="AB37" i="1"/>
  <c r="AB38" i="1"/>
  <c r="AB39" i="1"/>
  <c r="AB40" i="1"/>
  <c r="AB41" i="1"/>
  <c r="AB42" i="1"/>
  <c r="AB43" i="1"/>
  <c r="AB44" i="1"/>
  <c r="AB46" i="1"/>
  <c r="AB47" i="1"/>
  <c r="AB48" i="1"/>
  <c r="AB49" i="1"/>
  <c r="AB50" i="1"/>
  <c r="AB51" i="1"/>
  <c r="AB52" i="1"/>
  <c r="AB53" i="1"/>
  <c r="AB54" i="1"/>
  <c r="AB55" i="1"/>
  <c r="AB56" i="1"/>
  <c r="AA16" i="1"/>
  <c r="AA17" i="1"/>
  <c r="AA20" i="1"/>
  <c r="AA21" i="1"/>
  <c r="AA24" i="1"/>
  <c r="AA25" i="1"/>
  <c r="AA28" i="1"/>
  <c r="AA29" i="1"/>
  <c r="AA32" i="1"/>
  <c r="AA33" i="1"/>
  <c r="AA36" i="1"/>
  <c r="AA37" i="1"/>
  <c r="AA40" i="1"/>
  <c r="AA41" i="1"/>
  <c r="AA44" i="1"/>
  <c r="AA46" i="1"/>
  <c r="AA48" i="1"/>
  <c r="AA49" i="1"/>
  <c r="AA50" i="1"/>
  <c r="AA52" i="1"/>
  <c r="AA53" i="1"/>
  <c r="AA54" i="1"/>
  <c r="AA56" i="1"/>
  <c r="Z16" i="1"/>
  <c r="Z17" i="1"/>
  <c r="Z18" i="1"/>
  <c r="Z19" i="1"/>
  <c r="Z20" i="1"/>
  <c r="Z21" i="1"/>
  <c r="Z22" i="1"/>
  <c r="Z23" i="1"/>
  <c r="Z24" i="1"/>
  <c r="Z25" i="1"/>
  <c r="Z26" i="1"/>
  <c r="Z27" i="1"/>
  <c r="Z28" i="1"/>
  <c r="Z29" i="1"/>
  <c r="Z30" i="1"/>
  <c r="Z31" i="1"/>
  <c r="Z32" i="1"/>
  <c r="Z33" i="1"/>
  <c r="Z35" i="1"/>
  <c r="Z36" i="1"/>
  <c r="Z37" i="1"/>
  <c r="Z38" i="1"/>
  <c r="Z39" i="1"/>
  <c r="Z40" i="1"/>
  <c r="Z41" i="1"/>
  <c r="Z42" i="1"/>
  <c r="Z43" i="1"/>
  <c r="Z44" i="1"/>
  <c r="Z46" i="1"/>
  <c r="Z47" i="1"/>
  <c r="Z48" i="1"/>
  <c r="Z49" i="1"/>
  <c r="Z50" i="1"/>
  <c r="Z51" i="1"/>
  <c r="Z52" i="1"/>
  <c r="Z53" i="1"/>
  <c r="Z54" i="1"/>
  <c r="Z55" i="1"/>
  <c r="Z56" i="1"/>
  <c r="Z57" i="1"/>
  <c r="Y16" i="1"/>
  <c r="Y17" i="1"/>
  <c r="Y18" i="1"/>
  <c r="Y19" i="1"/>
  <c r="Y20" i="1"/>
  <c r="Y21" i="1"/>
  <c r="Y22" i="1"/>
  <c r="Y23" i="1"/>
  <c r="Y24" i="1"/>
  <c r="Y25" i="1"/>
  <c r="Y26" i="1"/>
  <c r="Y27" i="1"/>
  <c r="Y28" i="1"/>
  <c r="Y29" i="1"/>
  <c r="Y30" i="1"/>
  <c r="Y31" i="1"/>
  <c r="Y32" i="1"/>
  <c r="Y33" i="1"/>
  <c r="Y35" i="1"/>
  <c r="Y36" i="1"/>
  <c r="Y37" i="1"/>
  <c r="Y38" i="1"/>
  <c r="Y39" i="1"/>
  <c r="Y40" i="1"/>
  <c r="Y41" i="1"/>
  <c r="Y42" i="1"/>
  <c r="Y43" i="1"/>
  <c r="Y44" i="1"/>
  <c r="Y46" i="1"/>
  <c r="Y47" i="1"/>
  <c r="Y48" i="1"/>
  <c r="Y49" i="1"/>
  <c r="Y50" i="1"/>
  <c r="Y51" i="1"/>
  <c r="Y52" i="1"/>
  <c r="Y53" i="1"/>
  <c r="Y54" i="1"/>
  <c r="Y55" i="1"/>
  <c r="Y56" i="1"/>
  <c r="X16" i="1"/>
  <c r="X17" i="1"/>
  <c r="X18" i="1"/>
  <c r="X19" i="1"/>
  <c r="X20" i="1"/>
  <c r="X21" i="1"/>
  <c r="X22" i="1"/>
  <c r="X23" i="1"/>
  <c r="X24" i="1"/>
  <c r="X25" i="1"/>
  <c r="X26" i="1"/>
  <c r="X27" i="1"/>
  <c r="X28" i="1"/>
  <c r="X29" i="1"/>
  <c r="X30" i="1"/>
  <c r="X31" i="1"/>
  <c r="X32" i="1"/>
  <c r="X33" i="1"/>
  <c r="X35" i="1"/>
  <c r="X36" i="1"/>
  <c r="X37" i="1"/>
  <c r="X38" i="1"/>
  <c r="X39" i="1"/>
  <c r="X40" i="1"/>
  <c r="X41" i="1"/>
  <c r="X42" i="1"/>
  <c r="X43" i="1"/>
  <c r="X44" i="1"/>
  <c r="X46" i="1"/>
  <c r="X47" i="1"/>
  <c r="X48" i="1"/>
  <c r="X49" i="1"/>
  <c r="X50" i="1"/>
  <c r="X51" i="1"/>
  <c r="X52" i="1"/>
  <c r="X53" i="1"/>
  <c r="X54" i="1"/>
  <c r="X55" i="1"/>
  <c r="X56" i="1"/>
  <c r="W16" i="1"/>
  <c r="W17" i="1"/>
  <c r="W18" i="1"/>
  <c r="W19" i="1"/>
  <c r="W20" i="1"/>
  <c r="W21" i="1"/>
  <c r="W22" i="1"/>
  <c r="W23" i="1"/>
  <c r="W24" i="1"/>
  <c r="W25" i="1"/>
  <c r="W26" i="1"/>
  <c r="W27" i="1"/>
  <c r="W28" i="1"/>
  <c r="W29" i="1"/>
  <c r="W30" i="1"/>
  <c r="W31" i="1"/>
  <c r="W32" i="1"/>
  <c r="W33" i="1"/>
  <c r="W35" i="1"/>
  <c r="W36" i="1"/>
  <c r="W37" i="1"/>
  <c r="W38" i="1"/>
  <c r="W39" i="1"/>
  <c r="W40" i="1"/>
  <c r="W41" i="1"/>
  <c r="W42" i="1"/>
  <c r="W43" i="1"/>
  <c r="W44" i="1"/>
  <c r="W46" i="1"/>
  <c r="W47" i="1"/>
  <c r="W48" i="1"/>
  <c r="W49" i="1"/>
  <c r="W50" i="1"/>
  <c r="W51" i="1"/>
  <c r="W52" i="1"/>
  <c r="W53" i="1"/>
  <c r="W54" i="1"/>
  <c r="W55" i="1"/>
  <c r="W56" i="1"/>
  <c r="W57" i="1"/>
  <c r="V16" i="1"/>
  <c r="V17" i="1"/>
  <c r="V18" i="1"/>
  <c r="V19" i="1"/>
  <c r="V20" i="1"/>
  <c r="V21" i="1"/>
  <c r="V22" i="1"/>
  <c r="V23" i="1"/>
  <c r="V24" i="1"/>
  <c r="V25" i="1"/>
  <c r="V26" i="1"/>
  <c r="V27" i="1"/>
  <c r="V28" i="1"/>
  <c r="V29" i="1"/>
  <c r="V30" i="1"/>
  <c r="V31" i="1"/>
  <c r="V32" i="1"/>
  <c r="V33" i="1"/>
  <c r="V35" i="1"/>
  <c r="V36" i="1"/>
  <c r="V37" i="1"/>
  <c r="V38" i="1"/>
  <c r="V39" i="1"/>
  <c r="V40" i="1"/>
  <c r="V41" i="1"/>
  <c r="V42" i="1"/>
  <c r="V43" i="1"/>
  <c r="V44" i="1"/>
  <c r="V46" i="1"/>
  <c r="V47" i="1"/>
  <c r="V48" i="1"/>
  <c r="V49" i="1"/>
  <c r="V50" i="1"/>
  <c r="V51" i="1"/>
  <c r="V52" i="1"/>
  <c r="V53" i="1"/>
  <c r="V54" i="1"/>
  <c r="V55" i="1"/>
  <c r="V56" i="1"/>
  <c r="V57" i="1"/>
  <c r="U16" i="1"/>
  <c r="U17" i="1"/>
  <c r="U18" i="1"/>
  <c r="U19" i="1"/>
  <c r="U20" i="1"/>
  <c r="U21" i="1"/>
  <c r="U22" i="1"/>
  <c r="U23" i="1"/>
  <c r="U24" i="1"/>
  <c r="U25" i="1"/>
  <c r="U26" i="1"/>
  <c r="U27" i="1"/>
  <c r="U28" i="1"/>
  <c r="U29" i="1"/>
  <c r="U30" i="1"/>
  <c r="U31" i="1"/>
  <c r="U32" i="1"/>
  <c r="U33" i="1"/>
  <c r="U35" i="1"/>
  <c r="U36" i="1"/>
  <c r="U37" i="1"/>
  <c r="U38" i="1"/>
  <c r="U39" i="1"/>
  <c r="U40" i="1"/>
  <c r="U41" i="1"/>
  <c r="U42" i="1"/>
  <c r="U43" i="1"/>
  <c r="U44" i="1"/>
  <c r="U46" i="1"/>
  <c r="U47" i="1"/>
  <c r="U48" i="1"/>
  <c r="U49" i="1"/>
  <c r="U50" i="1"/>
  <c r="U51" i="1"/>
  <c r="U52" i="1"/>
  <c r="U53" i="1"/>
  <c r="U54" i="1"/>
  <c r="U55" i="1"/>
  <c r="U56" i="1"/>
  <c r="T16" i="1"/>
  <c r="T17" i="1"/>
  <c r="T18" i="1"/>
  <c r="T19" i="1"/>
  <c r="T20" i="1"/>
  <c r="T21" i="1"/>
  <c r="T22" i="1"/>
  <c r="T23" i="1"/>
  <c r="T24" i="1"/>
  <c r="T25" i="1"/>
  <c r="T26" i="1"/>
  <c r="T27" i="1"/>
  <c r="T28" i="1"/>
  <c r="T29" i="1"/>
  <c r="T30" i="1"/>
  <c r="T31" i="1"/>
  <c r="T32" i="1"/>
  <c r="T33" i="1"/>
  <c r="T35" i="1"/>
  <c r="T36" i="1"/>
  <c r="T37" i="1"/>
  <c r="T38" i="1"/>
  <c r="T39" i="1"/>
  <c r="T40" i="1"/>
  <c r="T41" i="1"/>
  <c r="T42" i="1"/>
  <c r="T43" i="1"/>
  <c r="T44" i="1"/>
  <c r="T46" i="1"/>
  <c r="T47" i="1"/>
  <c r="T48" i="1"/>
  <c r="T49" i="1"/>
  <c r="T50" i="1"/>
  <c r="T51" i="1"/>
  <c r="T52" i="1"/>
  <c r="T53" i="1"/>
  <c r="T54" i="1"/>
  <c r="T55" i="1"/>
  <c r="T56" i="1"/>
  <c r="S16" i="1"/>
  <c r="S17" i="1"/>
  <c r="S18" i="1"/>
  <c r="Q18" i="1" s="1"/>
  <c r="S19" i="1"/>
  <c r="S20" i="1"/>
  <c r="S21" i="1"/>
  <c r="S22" i="1"/>
  <c r="Q22" i="1" s="1"/>
  <c r="S23" i="1"/>
  <c r="S24" i="1"/>
  <c r="S25" i="1"/>
  <c r="S26" i="1"/>
  <c r="Q26" i="1" s="1"/>
  <c r="S27" i="1"/>
  <c r="S28" i="1"/>
  <c r="S29" i="1"/>
  <c r="S30" i="1"/>
  <c r="Q30" i="1" s="1"/>
  <c r="S31" i="1"/>
  <c r="S32" i="1"/>
  <c r="S33" i="1"/>
  <c r="S34" i="1"/>
  <c r="Q34" i="1" s="1"/>
  <c r="S35" i="1"/>
  <c r="S36" i="1"/>
  <c r="S37" i="1"/>
  <c r="S38" i="1"/>
  <c r="Q38" i="1" s="1"/>
  <c r="S39" i="1"/>
  <c r="S40" i="1"/>
  <c r="S41" i="1"/>
  <c r="S42" i="1"/>
  <c r="Q42" i="1" s="1"/>
  <c r="S43" i="1"/>
  <c r="S44" i="1"/>
  <c r="S45" i="1"/>
  <c r="Z45" i="1" s="1"/>
  <c r="S46" i="1"/>
  <c r="Q46" i="1" s="1"/>
  <c r="S47" i="1"/>
  <c r="S48" i="1"/>
  <c r="S49" i="1"/>
  <c r="S50" i="1"/>
  <c r="Q50" i="1" s="1"/>
  <c r="S51" i="1"/>
  <c r="S52" i="1"/>
  <c r="S53" i="1"/>
  <c r="S54" i="1"/>
  <c r="Q54" i="1" s="1"/>
  <c r="S55" i="1"/>
  <c r="S56" i="1"/>
  <c r="S57" i="1"/>
  <c r="X57" i="1" s="1"/>
  <c r="S58" i="1"/>
  <c r="Q58" i="1" s="1"/>
  <c r="S59" i="1"/>
  <c r="S60" i="1"/>
  <c r="Z60" i="1" s="1"/>
  <c r="S61" i="1"/>
  <c r="X61" i="1" s="1"/>
  <c r="S62" i="1"/>
  <c r="Q62" i="1" s="1"/>
  <c r="S63" i="1"/>
  <c r="S64" i="1"/>
  <c r="Z64" i="1" s="1"/>
  <c r="Q16" i="1"/>
  <c r="Q17" i="1"/>
  <c r="Q20" i="1"/>
  <c r="Q21" i="1"/>
  <c r="Q24" i="1"/>
  <c r="Q25" i="1"/>
  <c r="Q28" i="1"/>
  <c r="Q29" i="1"/>
  <c r="Q32" i="1"/>
  <c r="Q33" i="1"/>
  <c r="Q36" i="1"/>
  <c r="Q37" i="1"/>
  <c r="Q40" i="1"/>
  <c r="Q41" i="1"/>
  <c r="Q44" i="1"/>
  <c r="Q45" i="1"/>
  <c r="Q48" i="1"/>
  <c r="Q49" i="1"/>
  <c r="Q52" i="1"/>
  <c r="Q53" i="1"/>
  <c r="Q56" i="1"/>
  <c r="Q57" i="1"/>
  <c r="P16" i="1"/>
  <c r="P17" i="1"/>
  <c r="P18" i="1"/>
  <c r="P19" i="1"/>
  <c r="P20" i="1"/>
  <c r="P21" i="1"/>
  <c r="P22" i="1"/>
  <c r="P23" i="1"/>
  <c r="P24" i="1"/>
  <c r="P25" i="1"/>
  <c r="P26" i="1"/>
  <c r="P27" i="1"/>
  <c r="P28" i="1"/>
  <c r="P29" i="1"/>
  <c r="P30" i="1"/>
  <c r="P31" i="1"/>
  <c r="P32" i="1"/>
  <c r="P33" i="1"/>
  <c r="P35" i="1"/>
  <c r="P36" i="1"/>
  <c r="P37" i="1"/>
  <c r="P38" i="1"/>
  <c r="P39" i="1"/>
  <c r="P40" i="1"/>
  <c r="P41" i="1"/>
  <c r="P42" i="1"/>
  <c r="P43" i="1"/>
  <c r="P44" i="1"/>
  <c r="P45" i="1"/>
  <c r="P46" i="1"/>
  <c r="P47" i="1"/>
  <c r="P48" i="1"/>
  <c r="P49" i="1"/>
  <c r="P50" i="1"/>
  <c r="P51" i="1"/>
  <c r="P52" i="1"/>
  <c r="P53" i="1"/>
  <c r="P54" i="1"/>
  <c r="P55" i="1"/>
  <c r="P56" i="1"/>
  <c r="P57" i="1"/>
  <c r="B16" i="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AA18" i="1" l="1"/>
  <c r="P64" i="1"/>
  <c r="T64" i="1"/>
  <c r="U64" i="1"/>
  <c r="V64" i="1"/>
  <c r="W64" i="1"/>
  <c r="Q64" i="1"/>
  <c r="X64" i="1"/>
  <c r="Y64" i="1"/>
  <c r="W63" i="1"/>
  <c r="U63" i="1"/>
  <c r="Y63" i="1"/>
  <c r="T63" i="1"/>
  <c r="Z63" i="1"/>
  <c r="V63" i="1"/>
  <c r="X63" i="1"/>
  <c r="T62" i="1"/>
  <c r="V62" i="1"/>
  <c r="Y62" i="1"/>
  <c r="P62" i="1"/>
  <c r="W62" i="1"/>
  <c r="U62" i="1"/>
  <c r="X62" i="1"/>
  <c r="Z62" i="1"/>
  <c r="P61" i="1"/>
  <c r="Q61" i="1"/>
  <c r="T61" i="1"/>
  <c r="Z61" i="1"/>
  <c r="U61" i="1"/>
  <c r="Y61" i="1"/>
  <c r="V61" i="1"/>
  <c r="W61" i="1"/>
  <c r="T60" i="1"/>
  <c r="V60" i="1"/>
  <c r="P60" i="1"/>
  <c r="W60" i="1"/>
  <c r="U60" i="1"/>
  <c r="Q60" i="1"/>
  <c r="X60" i="1"/>
  <c r="Y60" i="1"/>
  <c r="P59" i="1"/>
  <c r="T59" i="1"/>
  <c r="W59" i="1"/>
  <c r="Z59" i="1"/>
  <c r="U59" i="1"/>
  <c r="Y59" i="1"/>
  <c r="V59" i="1"/>
  <c r="X59" i="1"/>
  <c r="Y58" i="1"/>
  <c r="W58" i="1"/>
  <c r="T58" i="1"/>
  <c r="V58" i="1"/>
  <c r="P58" i="1"/>
  <c r="U58" i="1"/>
  <c r="X58" i="1"/>
  <c r="Z58" i="1"/>
  <c r="AB57" i="1"/>
  <c r="U57" i="1"/>
  <c r="Y57" i="1"/>
  <c r="T57" i="1"/>
  <c r="AA57" i="1" s="1"/>
  <c r="AA45" i="1"/>
  <c r="T45" i="1"/>
  <c r="AB45" i="1" s="1"/>
  <c r="U45" i="1"/>
  <c r="V45" i="1"/>
  <c r="W45" i="1"/>
  <c r="X45" i="1"/>
  <c r="Y45" i="1"/>
  <c r="V34" i="1"/>
  <c r="Z34" i="1"/>
  <c r="P34" i="1"/>
  <c r="W34" i="1"/>
  <c r="T34" i="1"/>
  <c r="X34" i="1"/>
  <c r="U34" i="1"/>
  <c r="Y34" i="1"/>
  <c r="Q63" i="1"/>
  <c r="AB63" i="1" s="1"/>
  <c r="Q59" i="1"/>
  <c r="AB59" i="1" s="1"/>
  <c r="Q55" i="1"/>
  <c r="Q51" i="1"/>
  <c r="Q47" i="1"/>
  <c r="Q43" i="1"/>
  <c r="Q39" i="1"/>
  <c r="Q35" i="1"/>
  <c r="Q31" i="1"/>
  <c r="Q27" i="1"/>
  <c r="Q23" i="1"/>
  <c r="Q19" i="1"/>
  <c r="P63" i="1"/>
  <c r="AA63" i="1" s="1"/>
  <c r="AB64" i="1" l="1"/>
  <c r="AA64" i="1"/>
  <c r="AA62" i="1"/>
  <c r="AB62" i="1"/>
  <c r="AB61" i="1"/>
  <c r="AA61" i="1"/>
  <c r="AA60" i="1"/>
  <c r="AB60" i="1"/>
  <c r="AA59" i="1"/>
  <c r="AA58" i="1"/>
  <c r="AB58" i="1"/>
  <c r="AA34" i="1"/>
  <c r="AB34" i="1"/>
  <c r="L11" i="1" l="1"/>
  <c r="AA12" i="1"/>
  <c r="L13" i="1"/>
  <c r="M13" i="1"/>
  <c r="S15" i="1"/>
  <c r="S65" i="1" l="1"/>
  <c r="P15" i="1"/>
  <c r="R15" i="1"/>
  <c r="Q15" i="1"/>
  <c r="S11" i="1"/>
  <c r="X15" i="1"/>
  <c r="W15" i="1"/>
  <c r="Z15" i="1"/>
  <c r="T15" i="1"/>
  <c r="U15" i="1"/>
  <c r="V15" i="1"/>
  <c r="Y15" i="1"/>
  <c r="AB15" i="1" l="1"/>
  <c r="T65" i="1"/>
  <c r="P65" i="1"/>
  <c r="Q65" i="1"/>
  <c r="X65" i="1"/>
  <c r="V65" i="1"/>
  <c r="W65" i="1"/>
  <c r="Z65" i="1"/>
  <c r="Y65" i="1"/>
  <c r="U65" i="1"/>
  <c r="U11" i="1"/>
  <c r="X11" i="1"/>
  <c r="T11" i="1"/>
  <c r="Y11" i="1"/>
  <c r="Z11" i="1"/>
  <c r="Q11" i="1"/>
  <c r="V11" i="1"/>
  <c r="W11" i="1"/>
  <c r="R11" i="1"/>
  <c r="P11" i="1"/>
  <c r="AA15" i="1"/>
  <c r="AC15" i="1" l="1"/>
  <c r="AD15" i="1" s="1"/>
  <c r="AA11" i="1"/>
  <c r="AA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13" authorId="0" shapeId="0" xr:uid="{00000000-0006-0000-0000-000001000000}">
      <text>
        <r>
          <rPr>
            <sz val="10"/>
            <rFont val="Arial"/>
            <family val="2"/>
          </rPr>
          <t>Horas totales Desarrollo estimadas sin tomar en cuenta lo desestimado</t>
        </r>
      </text>
    </comment>
    <comment ref="M13" authorId="0" shapeId="0" xr:uid="{00000000-0006-0000-0000-000002000000}">
      <text>
        <r>
          <rPr>
            <sz val="10"/>
            <rFont val="Arial"/>
            <family val="2"/>
          </rPr>
          <t>Horas totales Desarrollo estimadas sin tomar en cuenta lo desestimado</t>
        </r>
      </text>
    </comment>
    <comment ref="B14" authorId="0" shapeId="0" xr:uid="{00000000-0006-0000-0000-000003000000}">
      <text>
        <r>
          <rPr>
            <sz val="10"/>
            <rFont val="Arial"/>
            <family val="2"/>
          </rPr>
          <t>Número Consecutivo</t>
        </r>
      </text>
    </comment>
    <comment ref="C14" authorId="0" shapeId="0" xr:uid="{00000000-0006-0000-0000-000004000000}">
      <text>
        <r>
          <rPr>
            <sz val="10"/>
            <rFont val="Arial"/>
            <family val="2"/>
          </rPr>
          <t>Módulo al que corresponde el requerimiento</t>
        </r>
      </text>
    </comment>
    <comment ref="D14" authorId="0" shapeId="0" xr:uid="{00000000-0006-0000-0000-000005000000}">
      <text>
        <r>
          <rPr>
            <sz val="10"/>
            <rFont val="Arial"/>
            <family val="2"/>
          </rPr>
          <t>Descripción Breve del requerimiento</t>
        </r>
      </text>
    </comment>
    <comment ref="F14" authorId="0" shapeId="0" xr:uid="{00000000-0006-0000-0000-000006000000}">
      <text>
        <r>
          <rPr>
            <sz val="10"/>
            <rFont val="Arial"/>
            <family val="2"/>
          </rPr>
          <t>Descripción Breve de la Solución que debe implementar Sysde para el requerimiento.</t>
        </r>
      </text>
    </comment>
    <comment ref="G14" authorId="0" shapeId="0" xr:uid="{00000000-0006-0000-0000-000007000000}">
      <text>
        <r>
          <rPr>
            <sz val="10"/>
            <rFont val="Arial"/>
            <family val="2"/>
          </rPr>
          <t>Indica si el requerimiento es o no indispensable</t>
        </r>
      </text>
    </comment>
    <comment ref="H14" authorId="0" shapeId="0" xr:uid="{00000000-0006-0000-0000-000008000000}">
      <text>
        <r>
          <rPr>
            <sz val="10"/>
            <rFont val="Arial"/>
            <family val="2"/>
          </rPr>
          <t>Indica si el requerimiento es o no indispensable según criterios de Sysde</t>
        </r>
      </text>
    </comment>
    <comment ref="I14" authorId="0" shapeId="0" xr:uid="{00000000-0006-0000-0000-000009000000}">
      <text>
        <r>
          <rPr>
            <sz val="10"/>
            <rFont val="Arial"/>
            <family val="2"/>
          </rPr>
          <t>Justifica la clasificación efectuada por Sysde para el requerimiento</t>
        </r>
      </text>
    </comment>
    <comment ref="K14" authorId="0" shapeId="0" xr:uid="{00000000-0006-0000-0000-00000A000000}">
      <text>
        <r>
          <rPr>
            <sz val="10"/>
            <rFont val="Arial"/>
            <family val="2"/>
          </rPr>
          <t xml:space="preserve">Describe un flujo alternativo al solicitado en la brecha. </t>
        </r>
      </text>
    </comment>
    <comment ref="L14" authorId="0" shapeId="0" xr:uid="{00000000-0006-0000-0000-00000B000000}">
      <text>
        <r>
          <rPr>
            <sz val="10"/>
            <rFont val="Arial"/>
            <family val="2"/>
          </rPr>
          <t>Indica la cantidad de horas de desarrollo necesarias en el escenario del flujo alternativo</t>
        </r>
      </text>
    </comment>
    <comment ref="M14" authorId="0" shapeId="0" xr:uid="{00000000-0006-0000-0000-00000C000000}">
      <text>
        <r>
          <rPr>
            <sz val="10"/>
            <rFont val="Arial"/>
            <family val="2"/>
          </rPr>
          <t>Horas de Esfuerzo estimadas del requerimiento si este es NO DESESTIMADO</t>
        </r>
      </text>
    </comment>
    <comment ref="N14" authorId="0" shapeId="0" xr:uid="{00000000-0006-0000-0000-00000D000000}">
      <text>
        <r>
          <rPr>
            <sz val="10"/>
            <rFont val="Arial"/>
            <family val="2"/>
          </rPr>
          <t>Marque con una "X" si desea utilizar la estimación del flujo alternativo</t>
        </r>
      </text>
    </comment>
  </commentList>
</comments>
</file>

<file path=xl/sharedStrings.xml><?xml version="1.0" encoding="utf-8"?>
<sst xmlns="http://schemas.openxmlformats.org/spreadsheetml/2006/main" count="297" uniqueCount="107">
  <si>
    <t>F. Actualización</t>
  </si>
  <si>
    <t>Código Estimación</t>
  </si>
  <si>
    <t>SERVICIOS DE ARQUITECTURA</t>
  </si>
  <si>
    <t>DETALLE DE ESTIMACIÓN DE ESFUERZO</t>
  </si>
  <si>
    <t>Elaborado Por</t>
  </si>
  <si>
    <t>Proyecto</t>
  </si>
  <si>
    <t>Desarrollo&gt;&gt;</t>
  </si>
  <si>
    <t>La lista adjunta contiene los hallazgos de nuevas brechas funcionales detectadas en el proceso de análisis del proyecto. La definición de las brechas no tiene el detalle necesario para poder estimar con certeza el alcance.</t>
  </si>
  <si>
    <t>Cantidad Total de Requerimientos</t>
  </si>
  <si>
    <t>Totales</t>
  </si>
  <si>
    <t>Total Est. Flujo Alternativo</t>
  </si>
  <si>
    <t>Total Est. Desarrollo</t>
  </si>
  <si>
    <t>Contrato &gt;&gt;</t>
  </si>
  <si>
    <t>Nro.</t>
  </si>
  <si>
    <t>Módulo</t>
  </si>
  <si>
    <t>Requerimiento</t>
  </si>
  <si>
    <t>Req. Cronograma</t>
  </si>
  <si>
    <t>Comentarios Arquitecto</t>
  </si>
  <si>
    <t>Clasificación Cliente</t>
  </si>
  <si>
    <t>Clasificación Analista</t>
  </si>
  <si>
    <t>Tipo</t>
  </si>
  <si>
    <t>Orden</t>
  </si>
  <si>
    <t>Descripción de Flujo Alternativo</t>
  </si>
  <si>
    <t>Estimación Flujo Alternativo</t>
  </si>
  <si>
    <t>Hrs Est. Desarrollo</t>
  </si>
  <si>
    <t>Con Flujo Alternativo</t>
  </si>
  <si>
    <t>Complejidad</t>
  </si>
  <si>
    <t>ARQ</t>
  </si>
  <si>
    <t>PM</t>
  </si>
  <si>
    <t>Diseño</t>
  </si>
  <si>
    <t>Construcción</t>
  </si>
  <si>
    <t>QA Unitario</t>
  </si>
  <si>
    <t>QA Integral</t>
  </si>
  <si>
    <t>Re trabajo</t>
  </si>
  <si>
    <t>Ver. Func.</t>
  </si>
  <si>
    <t>Docum.</t>
  </si>
  <si>
    <t>Garantía</t>
  </si>
  <si>
    <t>Otros</t>
  </si>
  <si>
    <t>Hrs. Total</t>
  </si>
  <si>
    <t>Indispensable</t>
  </si>
  <si>
    <t>Media</t>
  </si>
  <si>
    <t>Alta</t>
  </si>
  <si>
    <t>Baja</t>
  </si>
  <si>
    <t>Tamara Nicole Rodríguez Luna, Jonathan Andrey Porras Sandi y Daniela Alvarado Andrade.</t>
  </si>
  <si>
    <t>Modulo Consultas</t>
  </si>
  <si>
    <t>Modulo diseño</t>
  </si>
  <si>
    <t>Consulta</t>
  </si>
  <si>
    <t>Incluir el registro de asociaciones y particulares.</t>
  </si>
  <si>
    <t>Requerimientos</t>
  </si>
  <si>
    <t>Costo</t>
  </si>
  <si>
    <t>Costo Total</t>
  </si>
  <si>
    <t>Costo por seccion</t>
  </si>
  <si>
    <t>Precio de venta</t>
  </si>
  <si>
    <t>Funcionalidad de generar un reporte del job de match a demanda.</t>
  </si>
  <si>
    <t>El job debe ser automático y ejecutarse cada 4 horas.</t>
  </si>
  <si>
    <t>Funcionalidad de registro de casas cuna.</t>
  </si>
  <si>
    <t>La consulta de la bitácora debe ser filtrable por cualquiera de los atributos.</t>
  </si>
  <si>
    <t>Módulo de estadísticas</t>
  </si>
  <si>
    <t>La cantidad de adoptantes por rango de edad y por género.</t>
  </si>
  <si>
    <t>La cantidad de adoptantes con filtro de género.</t>
  </si>
  <si>
    <t>Top n de razas de perros más adoptadas.</t>
  </si>
  <si>
    <t>La escalabilidad del sistema debe servir para implementarse en otros países.</t>
  </si>
  <si>
    <t>Funcionalidad de contactar una casa cuna.</t>
  </si>
  <si>
    <t>Funcionalidad de poner calificaciones sobre los nuevos dueños de una mascota adoptada.</t>
  </si>
  <si>
    <t>Funcionalidad de poner notas sobre los nuevos dueños de una mascota adoptada.</t>
  </si>
  <si>
    <t>Funcionalidad de reportar una mascota encontrada que es resguardada por alguien que busca al dueño/a.</t>
  </si>
  <si>
    <t>Funcionalidad de cambio de estado de encontrada a en adopción luego de 5 días sin que el dueño se reporte.</t>
  </si>
  <si>
    <t>Funcionalidad de publicar mascotas pérdidas.</t>
  </si>
  <si>
    <t>Modulo de Requerimientos</t>
  </si>
  <si>
    <t>Consulta del porcentaje de las mascotas adoptadas y costo total gastado en la misma.</t>
  </si>
  <si>
    <t>Funcionalidad de registro de usuarios.</t>
  </si>
  <si>
    <t>Funcionalidad de inicio de sesión.</t>
  </si>
  <si>
    <t>Funcionalidad olvide mi contraseña.</t>
  </si>
  <si>
    <t>Funcionalidad de registro de mascotas.</t>
  </si>
  <si>
    <t>Funcionalidad de registro de candidato a adoptar.</t>
  </si>
  <si>
    <t>Funcionalidad de la bitácora.</t>
  </si>
  <si>
    <t>Registro de personas en la lista negra.</t>
  </si>
  <si>
    <t>Funcionalidad del test de adopción.</t>
  </si>
  <si>
    <t>Job de match de mascotas reportadas como en contradas y pérdidas.</t>
  </si>
  <si>
    <t>Consulta usuario registrado.</t>
  </si>
  <si>
    <t>Consulta usuario existente.</t>
  </si>
  <si>
    <t>Consulta información de un usuario.</t>
  </si>
  <si>
    <t>Consulta de mascota registrada.</t>
  </si>
  <si>
    <t>Consulta de adoptante.</t>
  </si>
  <si>
    <t>Consulta de mascota por estado.</t>
  </si>
  <si>
    <t>Consulta de una casa cuna.</t>
  </si>
  <si>
    <t>Listado de adoptantes con datos personales.</t>
  </si>
  <si>
    <t>Mostrar fotos del seguimiento de una mascota adoptada.</t>
  </si>
  <si>
    <t>Listado de las personas en la lista negra.</t>
  </si>
  <si>
    <t>La cantidad de mascotas en adopción.</t>
  </si>
  <si>
    <t>Diseño de ventana inicio sesión.</t>
  </si>
  <si>
    <t>Diseño de ventana registro de usuario.</t>
  </si>
  <si>
    <t>Diseño de ventana olvide mi contraseña.</t>
  </si>
  <si>
    <t>Diseño de ventana registro de mascota.</t>
  </si>
  <si>
    <t>Diseño de ventana registro candidato a adoptar.</t>
  </si>
  <si>
    <t>Diseño de ventana de una casa cuna.</t>
  </si>
  <si>
    <t>Diseño de ventana bitácora.</t>
  </si>
  <si>
    <t>Diseño de ventana resultados de búsqueda.</t>
  </si>
  <si>
    <t>Diseño de ventana test adopción.</t>
  </si>
  <si>
    <t>Diseño de ventana resultado job match.</t>
  </si>
  <si>
    <t>Diseño de ventana lista negra.</t>
  </si>
  <si>
    <t>Diseño de ventana calificaciones.</t>
  </si>
  <si>
    <t>Diseño de ventana ver perfil usuario.</t>
  </si>
  <si>
    <t>Diseño de ventana ver mascota.</t>
  </si>
  <si>
    <t>Dogs Lovers</t>
  </si>
  <si>
    <t>#0001</t>
  </si>
  <si>
    <t>Margen de Ganancia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</si>
</sst>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_);_(@_)"/>
    <numFmt numFmtId="165" formatCode="_(\$* #,##0.00_);_(\$* \(#,##0.00\);_(\$* \-??_);_(@_)"/>
    <numFmt numFmtId="166" formatCode="mm/dd/yyyy"/>
    <numFmt numFmtId="167" formatCode="_(* #,##0_);_(* \(#,##0\);_(* \-??_);_(@_)"/>
    <numFmt numFmtId="168" formatCode="d\-mmm\-yy;@"/>
    <numFmt numFmtId="169" formatCode="[$$-409]#,##0.00"/>
    <numFmt numFmtId="170" formatCode="[$$-540A]#,##0.00"/>
  </numFmts>
  <fonts count="19">
    <font>
      <sz val="10"/>
      <name val="Arial"/>
      <family val="2"/>
    </font>
    <font>
      <sz val="10"/>
      <name val="Arial Unicode MS"/>
      <family val="2"/>
    </font>
    <font>
      <sz val="11"/>
      <color indexed="8"/>
      <name val="Calibri"/>
      <family val="2"/>
    </font>
    <font>
      <sz val="8"/>
      <name val="Tahoma"/>
      <family val="2"/>
    </font>
    <font>
      <sz val="12"/>
      <color indexed="22"/>
      <name val="Tahoma"/>
      <family val="2"/>
    </font>
    <font>
      <b/>
      <sz val="8"/>
      <name val="Tahoma"/>
      <family val="2"/>
    </font>
    <font>
      <sz val="2"/>
      <name val="Tahoma"/>
      <family val="2"/>
    </font>
    <font>
      <sz val="2"/>
      <color indexed="22"/>
      <name val="Tahoma"/>
      <family val="2"/>
    </font>
    <font>
      <b/>
      <sz val="2"/>
      <name val="Tahoma"/>
      <family val="2"/>
    </font>
    <font>
      <b/>
      <sz val="8"/>
      <color indexed="9"/>
      <name val="Tahoma"/>
      <family val="2"/>
    </font>
    <font>
      <sz val="9"/>
      <color indexed="9"/>
      <name val="Tahoma"/>
      <family val="2"/>
    </font>
    <font>
      <sz val="8"/>
      <color indexed="9"/>
      <name val="Tahoma"/>
      <family val="2"/>
    </font>
    <font>
      <sz val="8"/>
      <color indexed="8"/>
      <name val="Calibri"/>
      <family val="2"/>
    </font>
    <font>
      <b/>
      <sz val="7"/>
      <name val="Tahoma"/>
      <family val="2"/>
    </font>
    <font>
      <b/>
      <sz val="8"/>
      <color indexed="56"/>
      <name val="Tahoma"/>
      <family val="2"/>
    </font>
    <font>
      <sz val="8"/>
      <color indexed="23"/>
      <name val="Tahoma"/>
      <family val="2"/>
    </font>
    <font>
      <b/>
      <sz val="8"/>
      <color indexed="13"/>
      <name val="Arial Black"/>
      <family val="2"/>
    </font>
    <font>
      <sz val="10"/>
      <name val="Arial"/>
      <family val="2"/>
    </font>
    <font>
      <b/>
      <sz val="8"/>
      <color theme="0"/>
      <name val="Tahoma"/>
      <family val="2"/>
    </font>
  </fonts>
  <fills count="11">
    <fill>
      <patternFill patternType="none"/>
    </fill>
    <fill>
      <patternFill patternType="gray125"/>
    </fill>
    <fill>
      <patternFill patternType="solid">
        <fgColor indexed="9"/>
        <bgColor indexed="26"/>
      </patternFill>
    </fill>
    <fill>
      <patternFill patternType="solid">
        <fgColor indexed="26"/>
        <bgColor indexed="42"/>
      </patternFill>
    </fill>
    <fill>
      <patternFill patternType="solid">
        <fgColor indexed="47"/>
        <bgColor indexed="22"/>
      </patternFill>
    </fill>
    <fill>
      <patternFill patternType="solid">
        <fgColor indexed="42"/>
        <bgColor indexed="26"/>
      </patternFill>
    </fill>
    <fill>
      <patternFill patternType="solid">
        <fgColor indexed="25"/>
        <bgColor indexed="61"/>
      </patternFill>
    </fill>
    <fill>
      <patternFill patternType="solid">
        <fgColor theme="8" tint="0.39997558519241921"/>
        <bgColor indexed="61"/>
      </patternFill>
    </fill>
    <fill>
      <patternFill patternType="solid">
        <fgColor theme="8" tint="0.39997558519241921"/>
        <bgColor indexed="25"/>
      </patternFill>
    </fill>
    <fill>
      <patternFill patternType="solid">
        <fgColor rgb="FF92CDDC"/>
        <bgColor indexed="64"/>
      </patternFill>
    </fill>
    <fill>
      <patternFill patternType="solid">
        <fgColor theme="0"/>
        <bgColor indexed="64"/>
      </patternFill>
    </fill>
  </fills>
  <borders count="22">
    <border>
      <left/>
      <right/>
      <top/>
      <bottom/>
      <diagonal/>
    </border>
    <border>
      <left style="thin">
        <color indexed="8"/>
      </left>
      <right style="thin">
        <color indexed="8"/>
      </right>
      <top style="thin">
        <color indexed="8"/>
      </top>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style="hair">
        <color indexed="8"/>
      </right>
      <top/>
      <bottom style="hair">
        <color indexed="8"/>
      </bottom>
      <diagonal/>
    </border>
    <border>
      <left style="medium">
        <color indexed="8"/>
      </left>
      <right style="hair">
        <color indexed="8"/>
      </right>
      <top/>
      <bottom style="hair">
        <color indexed="8"/>
      </bottom>
      <diagonal/>
    </border>
    <border>
      <left/>
      <right style="hair">
        <color indexed="8"/>
      </right>
      <top style="hair">
        <color indexed="8"/>
      </top>
      <bottom style="hair">
        <color indexed="8"/>
      </bottom>
      <diagonal/>
    </border>
    <border>
      <left style="medium">
        <color indexed="8"/>
      </left>
      <right style="hair">
        <color indexed="8"/>
      </right>
      <top style="hair">
        <color indexed="8"/>
      </top>
      <bottom style="hair">
        <color indexed="8"/>
      </bottom>
      <diagonal/>
    </border>
    <border>
      <left style="thin">
        <color indexed="8"/>
      </left>
      <right style="thin">
        <color indexed="8"/>
      </right>
      <top style="thin">
        <color indexed="8"/>
      </top>
      <bottom style="thin">
        <color indexed="8"/>
      </bottom>
      <diagonal/>
    </border>
    <border>
      <left/>
      <right/>
      <top/>
      <bottom style="hair">
        <color indexed="8"/>
      </bottom>
      <diagonal/>
    </border>
    <border>
      <left style="hair">
        <color indexed="8"/>
      </left>
      <right style="thin">
        <color indexed="8"/>
      </right>
      <top style="hair">
        <color indexed="8"/>
      </top>
      <bottom style="hair">
        <color indexed="8"/>
      </bottom>
      <diagonal/>
    </border>
    <border>
      <left style="medium">
        <color indexed="8"/>
      </left>
      <right style="medium">
        <color indexed="8"/>
      </right>
      <top style="medium">
        <color indexed="8"/>
      </top>
      <bottom style="hair">
        <color indexed="8"/>
      </bottom>
      <diagonal/>
    </border>
    <border>
      <left/>
      <right/>
      <top style="hair">
        <color indexed="8"/>
      </top>
      <bottom/>
      <diagonal/>
    </border>
    <border>
      <left style="medium">
        <color indexed="8"/>
      </left>
      <right style="hair">
        <color indexed="8"/>
      </right>
      <top style="hair">
        <color indexed="8"/>
      </top>
      <bottom style="medium">
        <color indexed="8"/>
      </bottom>
      <diagonal/>
    </border>
    <border>
      <left style="hair">
        <color indexed="8"/>
      </left>
      <right style="hair">
        <color indexed="8"/>
      </right>
      <top style="hair">
        <color indexed="8"/>
      </top>
      <bottom style="medium">
        <color indexed="8"/>
      </bottom>
      <diagonal/>
    </border>
    <border>
      <left style="hair">
        <color indexed="8"/>
      </left>
      <right/>
      <top style="hair">
        <color indexed="8"/>
      </top>
      <bottom style="medium">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ck">
        <color indexed="64"/>
      </bottom>
      <diagonal/>
    </border>
  </borders>
  <cellStyleXfs count="8">
    <xf numFmtId="0" fontId="0" fillId="0" borderId="0"/>
    <xf numFmtId="164" fontId="1" fillId="0" borderId="0" applyFill="0" applyBorder="0" applyAlignment="0" applyProtection="0"/>
    <xf numFmtId="164" fontId="1" fillId="0" borderId="0" applyFill="0" applyBorder="0" applyAlignment="0" applyProtection="0"/>
    <xf numFmtId="165" fontId="1" fillId="0" borderId="0" applyFill="0" applyBorder="0" applyAlignment="0" applyProtection="0"/>
    <xf numFmtId="0" fontId="17" fillId="0" borderId="0"/>
    <xf numFmtId="0" fontId="2" fillId="0" borderId="0"/>
    <xf numFmtId="9" fontId="1" fillId="0" borderId="0" applyFill="0" applyBorder="0" applyAlignment="0" applyProtection="0"/>
    <xf numFmtId="9" fontId="1" fillId="0" borderId="0" applyFill="0" applyBorder="0" applyAlignment="0" applyProtection="0"/>
  </cellStyleXfs>
  <cellXfs count="95">
    <xf numFmtId="0" fontId="0" fillId="0" borderId="0" xfId="0"/>
    <xf numFmtId="0" fontId="3" fillId="0" borderId="0" xfId="0" applyFont="1"/>
    <xf numFmtId="0" fontId="4" fillId="0" borderId="0" xfId="0" applyFont="1" applyAlignment="1">
      <alignment horizontal="left" vertical="center"/>
    </xf>
    <xf numFmtId="0" fontId="5" fillId="0" borderId="0" xfId="0" applyFont="1" applyAlignment="1">
      <alignment horizontal="left"/>
    </xf>
    <xf numFmtId="0" fontId="3" fillId="0" borderId="0" xfId="0" applyFont="1" applyAlignment="1">
      <alignment horizontal="center" vertical="center"/>
    </xf>
    <xf numFmtId="0" fontId="5" fillId="0" borderId="0" xfId="0" applyFont="1" applyAlignment="1">
      <alignment horizontal="center"/>
    </xf>
    <xf numFmtId="0" fontId="3" fillId="0" borderId="0" xfId="0" applyFont="1" applyAlignment="1">
      <alignment wrapText="1"/>
    </xf>
    <xf numFmtId="0" fontId="3"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right" wrapText="1"/>
    </xf>
    <xf numFmtId="0" fontId="3" fillId="0" borderId="0" xfId="0" applyFont="1" applyAlignment="1">
      <alignment horizontal="center" vertical="center" wrapText="1"/>
    </xf>
    <xf numFmtId="0" fontId="3" fillId="0" borderId="0" xfId="0" applyFont="1" applyAlignment="1">
      <alignment horizontal="center" vertical="top" wrapText="1"/>
    </xf>
    <xf numFmtId="0" fontId="6" fillId="0" borderId="0" xfId="0" applyFont="1"/>
    <xf numFmtId="0" fontId="7" fillId="0" borderId="0" xfId="0" applyFont="1" applyAlignment="1">
      <alignment horizontal="left" vertical="center"/>
    </xf>
    <xf numFmtId="0" fontId="8" fillId="0" borderId="0" xfId="0" applyFont="1" applyAlignment="1">
      <alignment horizontal="left"/>
    </xf>
    <xf numFmtId="0" fontId="6" fillId="0" borderId="0" xfId="0" applyFont="1" applyAlignment="1">
      <alignment horizontal="center" vertical="center"/>
    </xf>
    <xf numFmtId="0" fontId="8" fillId="0" borderId="0" xfId="0" applyFont="1" applyAlignment="1">
      <alignment horizontal="center"/>
    </xf>
    <xf numFmtId="0" fontId="6" fillId="0" borderId="0" xfId="0" applyFont="1" applyAlignment="1">
      <alignment wrapText="1"/>
    </xf>
    <xf numFmtId="0" fontId="6" fillId="0" borderId="0" xfId="0" applyFont="1" applyAlignment="1">
      <alignment horizontal="center"/>
    </xf>
    <xf numFmtId="0" fontId="6" fillId="0" borderId="0" xfId="0" applyFont="1" applyAlignment="1">
      <alignment horizontal="center" wrapText="1"/>
    </xf>
    <xf numFmtId="0" fontId="6" fillId="0" borderId="0" xfId="0" applyFont="1" applyAlignment="1">
      <alignment horizontal="right" wrapText="1"/>
    </xf>
    <xf numFmtId="0" fontId="6" fillId="0" borderId="0" xfId="0" applyFont="1" applyAlignment="1">
      <alignment horizontal="center" vertical="center" wrapText="1"/>
    </xf>
    <xf numFmtId="0" fontId="6" fillId="0" borderId="0" xfId="0" applyFont="1" applyAlignment="1">
      <alignment horizontal="center" vertical="top" wrapText="1"/>
    </xf>
    <xf numFmtId="0" fontId="5" fillId="2" borderId="0" xfId="0" applyFont="1" applyFill="1" applyAlignment="1">
      <alignment horizontal="center"/>
    </xf>
    <xf numFmtId="0" fontId="5" fillId="0" borderId="0" xfId="0" applyFont="1" applyAlignment="1">
      <alignment wrapText="1"/>
    </xf>
    <xf numFmtId="0" fontId="5" fillId="0" borderId="0" xfId="0" applyFont="1"/>
    <xf numFmtId="0" fontId="3" fillId="0" borderId="0" xfId="0" applyFont="1" applyAlignment="1">
      <alignment horizontal="left" wrapText="1"/>
    </xf>
    <xf numFmtId="0" fontId="10" fillId="2" borderId="0" xfId="0" applyFont="1" applyFill="1" applyAlignment="1">
      <alignment horizontal="right" vertical="center"/>
    </xf>
    <xf numFmtId="0" fontId="12" fillId="0" borderId="0" xfId="5" applyFont="1"/>
    <xf numFmtId="0" fontId="11" fillId="2" borderId="0" xfId="0" applyFont="1" applyFill="1" applyAlignment="1">
      <alignment horizontal="right" vertical="center"/>
    </xf>
    <xf numFmtId="0" fontId="11" fillId="0" borderId="0" xfId="0" applyFont="1" applyAlignment="1">
      <alignment horizontal="center"/>
    </xf>
    <xf numFmtId="0" fontId="13" fillId="0" borderId="0" xfId="0" applyFont="1" applyAlignment="1">
      <alignment horizontal="left"/>
    </xf>
    <xf numFmtId="0" fontId="5" fillId="2" borderId="0" xfId="0" applyFont="1" applyFill="1" applyAlignment="1">
      <alignment horizontal="left" indent="1"/>
    </xf>
    <xf numFmtId="9" fontId="5" fillId="3" borderId="1" xfId="6" applyFont="1" applyFill="1" applyBorder="1" applyAlignment="1" applyProtection="1">
      <alignment horizontal="center"/>
    </xf>
    <xf numFmtId="0" fontId="5" fillId="4" borderId="2" xfId="0" applyFont="1" applyFill="1" applyBorder="1" applyAlignment="1">
      <alignment horizontal="center" vertical="center"/>
    </xf>
    <xf numFmtId="166" fontId="5" fillId="0" borderId="0" xfId="0" applyNumberFormat="1" applyFont="1" applyAlignment="1">
      <alignment horizontal="center" vertical="top" wrapText="1"/>
    </xf>
    <xf numFmtId="9" fontId="15" fillId="3" borderId="1" xfId="6" applyFont="1" applyFill="1" applyBorder="1" applyAlignment="1" applyProtection="1">
      <alignment horizontal="center"/>
    </xf>
    <xf numFmtId="9" fontId="15" fillId="3" borderId="1" xfId="6" applyFont="1" applyFill="1" applyBorder="1" applyAlignment="1" applyProtection="1"/>
    <xf numFmtId="9" fontId="3" fillId="3" borderId="1" xfId="0" applyNumberFormat="1" applyFont="1" applyFill="1" applyBorder="1"/>
    <xf numFmtId="4" fontId="5" fillId="0" borderId="2" xfId="0" applyNumberFormat="1" applyFont="1" applyBorder="1" applyAlignment="1">
      <alignment horizontal="center" vertical="center" wrapText="1"/>
    </xf>
    <xf numFmtId="167" fontId="5" fillId="0" borderId="2" xfId="1" applyNumberFormat="1" applyFont="1" applyFill="1" applyBorder="1" applyAlignment="1" applyProtection="1">
      <alignment horizontal="left" vertical="center" wrapText="1"/>
    </xf>
    <xf numFmtId="168" fontId="3" fillId="0" borderId="2" xfId="0" applyNumberFormat="1" applyFont="1" applyBorder="1" applyAlignment="1">
      <alignment horizontal="left" vertical="center" wrapText="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 fontId="3" fillId="0" borderId="3" xfId="0" applyNumberFormat="1" applyFont="1" applyBorder="1" applyAlignment="1">
      <alignment horizontal="center" vertical="center" wrapText="1"/>
    </xf>
    <xf numFmtId="4" fontId="3" fillId="0" borderId="2" xfId="0" applyNumberFormat="1" applyFont="1" applyBorder="1" applyAlignment="1">
      <alignment horizontal="right" vertical="center"/>
    </xf>
    <xf numFmtId="4" fontId="5" fillId="0" borderId="4" xfId="0" applyNumberFormat="1" applyFont="1" applyBorder="1" applyAlignment="1">
      <alignment horizontal="center" vertical="center"/>
    </xf>
    <xf numFmtId="0" fontId="3" fillId="0" borderId="5" xfId="0" applyFont="1" applyBorder="1" applyAlignment="1">
      <alignment horizontal="center" vertical="center"/>
    </xf>
    <xf numFmtId="164" fontId="3" fillId="0" borderId="6" xfId="0" applyNumberFormat="1" applyFont="1" applyBorder="1" applyAlignment="1">
      <alignment horizontal="center" vertical="center"/>
    </xf>
    <xf numFmtId="164" fontId="3" fillId="0" borderId="2" xfId="0" applyNumberFormat="1" applyFont="1" applyBorder="1" applyAlignment="1">
      <alignment horizontal="center" vertical="center"/>
    </xf>
    <xf numFmtId="4" fontId="5" fillId="0" borderId="6" xfId="0" applyNumberFormat="1" applyFont="1" applyBorder="1" applyAlignment="1">
      <alignment horizontal="center" vertical="center"/>
    </xf>
    <xf numFmtId="0" fontId="3" fillId="0" borderId="7" xfId="0" applyFont="1" applyBorder="1" applyAlignment="1">
      <alignment horizontal="center" vertical="center"/>
    </xf>
    <xf numFmtId="1" fontId="9" fillId="7" borderId="2" xfId="0" applyNumberFormat="1" applyFont="1" applyFill="1" applyBorder="1" applyAlignment="1">
      <alignment horizontal="left" vertical="center" wrapText="1"/>
    </xf>
    <xf numFmtId="0" fontId="9" fillId="7" borderId="2" xfId="0" applyFont="1" applyFill="1" applyBorder="1" applyAlignment="1">
      <alignment horizontal="center" vertical="center" wrapText="1"/>
    </xf>
    <xf numFmtId="1" fontId="9" fillId="7" borderId="2" xfId="0" applyNumberFormat="1" applyFont="1" applyFill="1" applyBorder="1" applyAlignment="1">
      <alignment horizontal="center" vertical="center" wrapText="1"/>
    </xf>
    <xf numFmtId="1" fontId="9" fillId="7" borderId="3" xfId="0" applyNumberFormat="1" applyFont="1" applyFill="1" applyBorder="1" applyAlignment="1">
      <alignment horizontal="center" vertical="center" wrapText="1"/>
    </xf>
    <xf numFmtId="4" fontId="9" fillId="7" borderId="2" xfId="0" applyNumberFormat="1" applyFont="1" applyFill="1" applyBorder="1" applyAlignment="1">
      <alignment horizontal="center" vertical="center" wrapText="1"/>
    </xf>
    <xf numFmtId="4" fontId="9" fillId="7" borderId="3" xfId="0" applyNumberFormat="1" applyFont="1" applyFill="1" applyBorder="1" applyAlignment="1">
      <alignment horizontal="center" vertical="center" wrapText="1"/>
    </xf>
    <xf numFmtId="1" fontId="9" fillId="7" borderId="12" xfId="0" applyNumberFormat="1" applyFont="1" applyFill="1" applyBorder="1" applyAlignment="1">
      <alignment horizontal="center" vertical="center" wrapText="1"/>
    </xf>
    <xf numFmtId="1" fontId="9" fillId="7" borderId="13" xfId="0" applyNumberFormat="1" applyFont="1" applyFill="1" applyBorder="1" applyAlignment="1">
      <alignment horizontal="left" vertical="center" wrapText="1"/>
    </xf>
    <xf numFmtId="1" fontId="9" fillId="7" borderId="14" xfId="0" applyNumberFormat="1" applyFont="1" applyFill="1" applyBorder="1" applyAlignment="1">
      <alignment horizontal="left" vertical="center" wrapText="1"/>
    </xf>
    <xf numFmtId="1" fontId="9" fillId="7" borderId="15" xfId="0" applyNumberFormat="1" applyFont="1" applyFill="1" applyBorder="1" applyAlignment="1">
      <alignment horizontal="left" vertical="center" wrapText="1"/>
    </xf>
    <xf numFmtId="164" fontId="9" fillId="7" borderId="2" xfId="1" applyFont="1" applyFill="1" applyBorder="1" applyAlignment="1" applyProtection="1">
      <alignment horizontal="center" vertical="center" wrapText="1"/>
    </xf>
    <xf numFmtId="1" fontId="11" fillId="8" borderId="8" xfId="0" applyNumberFormat="1" applyFont="1" applyFill="1" applyBorder="1" applyAlignment="1">
      <alignment horizontal="center" vertical="center" wrapText="1"/>
    </xf>
    <xf numFmtId="4" fontId="9" fillId="8" borderId="8" xfId="0" applyNumberFormat="1" applyFont="1" applyFill="1" applyBorder="1" applyAlignment="1">
      <alignment horizontal="right" vertical="center" wrapText="1"/>
    </xf>
    <xf numFmtId="1" fontId="5" fillId="7" borderId="10" xfId="0" applyNumberFormat="1" applyFont="1" applyFill="1" applyBorder="1" applyAlignment="1">
      <alignment horizontal="center" vertical="center" wrapText="1"/>
    </xf>
    <xf numFmtId="4" fontId="3" fillId="0" borderId="3" xfId="0" applyNumberFormat="1" applyFont="1" applyBorder="1" applyAlignment="1">
      <alignment horizontal="right" vertical="center"/>
    </xf>
    <xf numFmtId="169" fontId="3" fillId="0" borderId="16" xfId="0" applyNumberFormat="1" applyFont="1" applyBorder="1" applyAlignment="1">
      <alignment vertical="center"/>
    </xf>
    <xf numFmtId="0" fontId="5" fillId="9" borderId="16" xfId="0" applyFont="1" applyFill="1" applyBorder="1" applyAlignment="1">
      <alignment horizontal="center" vertical="center"/>
    </xf>
    <xf numFmtId="0" fontId="5" fillId="10" borderId="0" xfId="0" applyFont="1" applyFill="1" applyBorder="1" applyAlignment="1">
      <alignment horizontal="center" vertical="center"/>
    </xf>
    <xf numFmtId="0" fontId="3" fillId="0" borderId="0" xfId="0" applyFont="1" applyBorder="1"/>
    <xf numFmtId="4" fontId="3" fillId="0" borderId="2" xfId="0" applyNumberFormat="1" applyFont="1" applyBorder="1" applyAlignment="1">
      <alignment horizontal="right" vertical="center" wrapText="1"/>
    </xf>
    <xf numFmtId="0" fontId="3" fillId="0" borderId="2" xfId="0" applyFont="1" applyFill="1" applyBorder="1" applyAlignment="1">
      <alignment horizontal="left" vertical="center" wrapText="1"/>
    </xf>
    <xf numFmtId="1" fontId="5" fillId="7" borderId="3" xfId="0" applyNumberFormat="1" applyFont="1" applyFill="1" applyBorder="1" applyAlignment="1">
      <alignment horizontal="center" vertical="center" wrapText="1"/>
    </xf>
    <xf numFmtId="169" fontId="3" fillId="0" borderId="20" xfId="0" applyNumberFormat="1" applyFont="1" applyBorder="1" applyAlignment="1">
      <alignment vertical="center"/>
    </xf>
    <xf numFmtId="169" fontId="5" fillId="0" borderId="20" xfId="0" applyNumberFormat="1" applyFont="1" applyBorder="1" applyAlignment="1">
      <alignment horizontal="center" vertical="center"/>
    </xf>
    <xf numFmtId="0" fontId="18" fillId="9" borderId="21" xfId="0" applyFont="1" applyFill="1" applyBorder="1" applyAlignment="1">
      <alignment horizontal="center" vertical="center" wrapText="1"/>
    </xf>
    <xf numFmtId="170" fontId="3" fillId="0" borderId="16" xfId="0" applyNumberFormat="1" applyFont="1" applyBorder="1" applyAlignment="1">
      <alignment horizontal="center"/>
    </xf>
    <xf numFmtId="170" fontId="3" fillId="0" borderId="16" xfId="0" applyNumberFormat="1" applyFont="1" applyBorder="1" applyAlignment="1">
      <alignment horizontal="center" wrapText="1"/>
    </xf>
    <xf numFmtId="169" fontId="3" fillId="0" borderId="16" xfId="0" applyNumberFormat="1" applyFont="1" applyBorder="1" applyAlignment="1">
      <alignment horizontal="center" wrapText="1"/>
    </xf>
    <xf numFmtId="1" fontId="5" fillId="7" borderId="10" xfId="0" applyNumberFormat="1" applyFont="1" applyFill="1" applyBorder="1" applyAlignment="1">
      <alignment horizontal="center" vertical="center" wrapText="1"/>
    </xf>
    <xf numFmtId="0" fontId="14" fillId="5" borderId="9" xfId="0" applyFont="1" applyFill="1" applyBorder="1" applyAlignment="1">
      <alignment horizontal="center" vertical="center" wrapText="1"/>
    </xf>
    <xf numFmtId="0" fontId="5" fillId="4" borderId="10" xfId="0" applyFont="1" applyFill="1" applyBorder="1" applyAlignment="1">
      <alignment horizontal="left" vertical="center" wrapText="1"/>
    </xf>
    <xf numFmtId="9" fontId="16" fillId="6" borderId="11" xfId="6" applyFont="1" applyFill="1" applyBorder="1" applyAlignment="1" applyProtection="1">
      <alignment horizontal="center"/>
    </xf>
    <xf numFmtId="0" fontId="3" fillId="0" borderId="16" xfId="0" applyFont="1" applyBorder="1" applyAlignment="1">
      <alignment horizontal="center" vertical="center"/>
    </xf>
    <xf numFmtId="0" fontId="11" fillId="2" borderId="0" xfId="0" applyFont="1" applyFill="1" applyAlignment="1">
      <alignment horizontal="left" vertical="center" wrapText="1"/>
    </xf>
    <xf numFmtId="14"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0" xfId="0" applyFont="1" applyAlignment="1">
      <alignment horizontal="center"/>
    </xf>
    <xf numFmtId="0" fontId="9" fillId="2" borderId="0" xfId="0" applyFont="1" applyFill="1" applyAlignment="1">
      <alignment horizontal="center"/>
    </xf>
    <xf numFmtId="0" fontId="5" fillId="0" borderId="0" xfId="0" applyFont="1" applyAlignment="1">
      <alignment horizontal="left"/>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17" xfId="0" applyFont="1" applyBorder="1" applyAlignment="1">
      <alignment horizontal="center" vertical="center"/>
    </xf>
  </cellXfs>
  <cellStyles count="8">
    <cellStyle name="Comma 2" xfId="2" xr:uid="{00000000-0005-0000-0000-000001000000}"/>
    <cellStyle name="Currency 2" xfId="3" xr:uid="{00000000-0005-0000-0000-000002000000}"/>
    <cellStyle name="Millares" xfId="1" builtinId="3"/>
    <cellStyle name="Normal" xfId="0" builtinId="0"/>
    <cellStyle name="Normal 2" xfId="4" xr:uid="{00000000-0005-0000-0000-000004000000}"/>
    <cellStyle name="Normal_Detalle Estimaciones" xfId="5" xr:uid="{00000000-0005-0000-0000-000005000000}"/>
    <cellStyle name="Percent 2" xfId="7" xr:uid="{00000000-0005-0000-0000-000007000000}"/>
    <cellStyle name="Porcentaje" xfId="6"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A95154"/>
      <rgbColor rgb="00EBF1DE"/>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E1EACD"/>
      <rgbColor rgb="00FFFF99"/>
      <rgbColor rgb="0099CCFF"/>
      <rgbColor rgb="00FF99CC"/>
      <rgbColor rgb="00CC99FF"/>
      <rgbColor rgb="00C3D69B"/>
      <rgbColor rgb="003366FF"/>
      <rgbColor rgb="0033CCCC"/>
      <rgbColor rgb="0099CC00"/>
      <rgbColor rgb="00FFCC00"/>
      <rgbColor rgb="00FF9900"/>
      <rgbColor rgb="00FF6600"/>
      <rgbColor rgb="00666699"/>
      <rgbColor rgb="00969696"/>
      <rgbColor rgb="00215968"/>
      <rgbColor rgb="00339966"/>
      <rgbColor rgb="00003300"/>
      <rgbColor rgb="00333300"/>
      <rgbColor rgb="00993300"/>
      <rgbColor rgb="00A9665A"/>
      <rgbColor rgb="00333399"/>
      <rgbColor rgb="00333333"/>
    </indexedColors>
    <mruColors>
      <color rgb="FF92CD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sysde.net/JOSE/Costa%20Rica/Implementation_06_20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mp;L"/>
      <sheetName val="Det"/>
      <sheetName val="Detalle Gasto"/>
      <sheetName val="Pivot"/>
      <sheetName val="% Indirectos"/>
      <sheetName val="Proyecto"/>
      <sheetName val="Ingresos"/>
      <sheetName val="Resumen P&amp;L"/>
      <sheetName val="IIPrima"/>
      <sheetName val="AFPCrecer"/>
      <sheetName val="Chiqui"/>
      <sheetName val="JFN"/>
      <sheetName val="SysRetail"/>
      <sheetName val="Cohen"/>
      <sheetName val="Afirme2"/>
      <sheetName val="Atlantida"/>
      <sheetName val="Prima"/>
      <sheetName val="Bantrab"/>
      <sheetName val="Fundevi"/>
      <sheetName val="Tacna IIP"/>
      <sheetName val="Asomif"/>
      <sheetName val="Mercant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E65527"/>
  <sheetViews>
    <sheetView showGridLines="0" tabSelected="1" zoomScale="101" zoomScaleNormal="100" workbookViewId="0">
      <selection activeCell="F70" sqref="F70"/>
    </sheetView>
  </sheetViews>
  <sheetFormatPr baseColWidth="10" defaultColWidth="9.140625" defaultRowHeight="15"/>
  <cols>
    <col min="1" max="1" width="1.140625" style="1" customWidth="1"/>
    <col min="2" max="2" width="4.7109375" style="2" customWidth="1"/>
    <col min="3" max="3" width="12.85546875" style="3" customWidth="1"/>
    <col min="4" max="4" width="14.28515625" style="1" customWidth="1"/>
    <col min="5" max="5" width="12.5703125" style="1" customWidth="1"/>
    <col min="6" max="6" width="20.7109375" style="4" customWidth="1"/>
    <col min="7" max="7" width="30.5703125" style="1" customWidth="1"/>
    <col min="8" max="9" width="17.28515625" style="1" customWidth="1"/>
    <col min="10" max="10" width="9.85546875" style="1" customWidth="1"/>
    <col min="11" max="11" width="15.7109375" style="1" customWidth="1"/>
    <col min="12" max="12" width="15.28515625" style="1" customWidth="1"/>
    <col min="13" max="13" width="17.140625" style="1" customWidth="1"/>
    <col min="14" max="14" width="20" style="5" customWidth="1"/>
    <col min="15" max="15" width="15.5703125" style="6" customWidth="1"/>
    <col min="16" max="16" width="10.7109375" style="7" customWidth="1"/>
    <col min="17" max="17" width="10.5703125" style="8" customWidth="1"/>
    <col min="18" max="18" width="12.42578125" style="9" customWidth="1"/>
    <col min="19" max="19" width="11.5703125" style="8" customWidth="1"/>
    <col min="20" max="20" width="10.5703125" style="10" customWidth="1"/>
    <col min="21" max="21" width="10.7109375" style="10" customWidth="1"/>
    <col min="22" max="22" width="10" style="8" customWidth="1"/>
    <col min="23" max="23" width="9.85546875" style="11" customWidth="1"/>
    <col min="24" max="24" width="7.85546875" style="11" customWidth="1"/>
    <col min="25" max="25" width="8.5703125" style="11" customWidth="1"/>
    <col min="26" max="26" width="6.5703125" style="11" customWidth="1"/>
    <col min="27" max="27" width="9.5703125" style="1" customWidth="1"/>
    <col min="28" max="29" width="18.5703125" style="1" customWidth="1"/>
    <col min="30" max="30" width="18.7109375" style="1" customWidth="1"/>
    <col min="31" max="31" width="18.42578125" style="1" customWidth="1"/>
    <col min="32" max="16384" width="9.140625" style="1"/>
  </cols>
  <sheetData>
    <row r="1" spans="2:31" s="12" customFormat="1" ht="5.25">
      <c r="B1" s="13"/>
      <c r="C1" s="14"/>
      <c r="F1" s="15"/>
      <c r="N1" s="16"/>
      <c r="O1" s="17"/>
      <c r="P1" s="18"/>
      <c r="Q1" s="19"/>
      <c r="R1" s="20"/>
      <c r="S1" s="19"/>
      <c r="T1" s="21"/>
      <c r="U1" s="21"/>
      <c r="V1" s="19"/>
      <c r="W1" s="22"/>
      <c r="X1" s="22"/>
      <c r="Y1" s="22"/>
      <c r="Z1" s="22"/>
    </row>
    <row r="2" spans="2:31" ht="15" customHeight="1">
      <c r="B2" s="81" t="s">
        <v>0</v>
      </c>
      <c r="C2" s="81"/>
      <c r="D2" s="81"/>
      <c r="E2" s="66"/>
      <c r="F2" s="87">
        <v>45212</v>
      </c>
      <c r="G2" s="88"/>
      <c r="H2" s="23"/>
      <c r="I2" s="23"/>
      <c r="J2" s="23"/>
      <c r="K2" s="23"/>
      <c r="L2" s="23"/>
    </row>
    <row r="3" spans="2:31" ht="15" customHeight="1">
      <c r="B3" s="81" t="s">
        <v>1</v>
      </c>
      <c r="C3" s="81"/>
      <c r="D3" s="81"/>
      <c r="E3" s="66"/>
      <c r="F3" s="88" t="s">
        <v>105</v>
      </c>
      <c r="G3" s="88"/>
      <c r="H3" s="23"/>
      <c r="I3" s="23"/>
      <c r="J3" s="23"/>
      <c r="K3" s="23"/>
      <c r="L3" s="23"/>
    </row>
    <row r="4" spans="2:31" s="12" customFormat="1" ht="10.5">
      <c r="B4" s="89"/>
      <c r="C4" s="89"/>
      <c r="D4" s="89"/>
      <c r="E4" s="89"/>
      <c r="F4" s="89"/>
      <c r="N4" s="16"/>
      <c r="O4" s="17"/>
      <c r="P4" s="18"/>
      <c r="Q4" s="19"/>
      <c r="R4" s="20"/>
      <c r="S4" s="19"/>
      <c r="T4" s="21"/>
      <c r="U4" s="21"/>
      <c r="V4" s="8"/>
      <c r="W4" s="22"/>
      <c r="X4" s="22"/>
      <c r="Y4" s="22"/>
      <c r="Z4" s="22"/>
    </row>
    <row r="5" spans="2:31" ht="10.5">
      <c r="B5" s="89"/>
      <c r="C5" s="89"/>
      <c r="D5" s="89"/>
      <c r="E5" s="89"/>
      <c r="F5" s="89"/>
      <c r="O5" s="24"/>
      <c r="P5" s="90"/>
      <c r="Q5" s="90"/>
      <c r="R5" s="90"/>
      <c r="S5" s="90"/>
    </row>
    <row r="6" spans="2:31" ht="12" customHeight="1">
      <c r="B6" s="91" t="s">
        <v>2</v>
      </c>
      <c r="C6" s="91"/>
      <c r="D6" s="91"/>
      <c r="E6" s="91"/>
      <c r="F6" s="91"/>
      <c r="G6" s="25"/>
      <c r="H6" s="25"/>
      <c r="I6" s="25"/>
      <c r="J6" s="25"/>
      <c r="K6" s="25"/>
      <c r="L6" s="25"/>
      <c r="M6" s="25"/>
      <c r="O6" s="26"/>
      <c r="P6" s="27"/>
      <c r="Q6" s="86"/>
      <c r="R6" s="86"/>
      <c r="S6" s="86"/>
      <c r="V6" s="28"/>
      <c r="W6" s="7"/>
      <c r="X6" s="7"/>
      <c r="Y6" s="7"/>
      <c r="Z6" s="7"/>
    </row>
    <row r="7" spans="2:31" ht="12" customHeight="1">
      <c r="B7" s="91" t="s">
        <v>3</v>
      </c>
      <c r="C7" s="91"/>
      <c r="D7" s="91"/>
      <c r="E7" s="91"/>
      <c r="F7" s="91"/>
      <c r="G7" s="25"/>
      <c r="H7" s="25"/>
      <c r="I7" s="25"/>
      <c r="J7" s="25"/>
      <c r="K7" s="25"/>
      <c r="L7" s="25"/>
      <c r="M7" s="25"/>
      <c r="O7" s="26"/>
      <c r="P7" s="27"/>
      <c r="Q7" s="86"/>
      <c r="R7" s="86"/>
      <c r="S7" s="86"/>
      <c r="V7" s="28"/>
      <c r="W7" s="7"/>
      <c r="X7" s="7"/>
      <c r="Y7" s="7"/>
      <c r="Z7" s="7"/>
    </row>
    <row r="8" spans="2:31" ht="14.25" customHeight="1">
      <c r="B8" s="81" t="s">
        <v>4</v>
      </c>
      <c r="C8" s="81"/>
      <c r="D8" s="81"/>
      <c r="E8" s="74"/>
      <c r="F8" s="92" t="s">
        <v>43</v>
      </c>
      <c r="G8" s="93"/>
      <c r="H8" s="93"/>
      <c r="I8" s="94"/>
      <c r="O8" s="26"/>
      <c r="P8" s="29"/>
      <c r="Q8" s="86"/>
      <c r="R8" s="86"/>
      <c r="S8" s="86"/>
      <c r="V8" s="28"/>
      <c r="W8" s="30"/>
      <c r="X8" s="30"/>
      <c r="Y8" s="30"/>
      <c r="Z8" s="30"/>
      <c r="AA8" s="30"/>
    </row>
    <row r="9" spans="2:31" ht="15" customHeight="1">
      <c r="B9" s="81" t="s">
        <v>5</v>
      </c>
      <c r="C9" s="81"/>
      <c r="D9" s="81"/>
      <c r="E9" s="74"/>
      <c r="F9" s="85" t="s">
        <v>104</v>
      </c>
      <c r="G9" s="85"/>
      <c r="H9" s="85"/>
      <c r="I9" s="85"/>
      <c r="O9" s="26"/>
      <c r="V9" s="28"/>
      <c r="W9" s="7"/>
      <c r="X9" s="7"/>
      <c r="Y9" s="7"/>
      <c r="Z9" s="7"/>
    </row>
    <row r="10" spans="2:31" ht="10.5">
      <c r="B10" s="31"/>
      <c r="C10" s="31"/>
      <c r="D10" s="32"/>
      <c r="E10" s="32"/>
      <c r="O10" s="33" t="s">
        <v>6</v>
      </c>
      <c r="P10" s="33">
        <v>0.1</v>
      </c>
      <c r="Q10" s="33">
        <v>0.1</v>
      </c>
      <c r="R10" s="33">
        <v>0.13</v>
      </c>
      <c r="S10" s="33">
        <v>1</v>
      </c>
      <c r="T10" s="33">
        <v>0.13</v>
      </c>
      <c r="U10" s="33">
        <v>0.38</v>
      </c>
      <c r="V10" s="33">
        <v>0.25</v>
      </c>
      <c r="W10" s="33">
        <v>0.08</v>
      </c>
      <c r="X10" s="33">
        <v>0.08</v>
      </c>
      <c r="Y10" s="33">
        <v>0.25</v>
      </c>
      <c r="Z10" s="33">
        <v>0.03</v>
      </c>
      <c r="AA10" s="33">
        <f>AA15/$S$15</f>
        <v>2.5000000000000004</v>
      </c>
    </row>
    <row r="11" spans="2:31" ht="11.1" customHeight="1">
      <c r="B11" s="82" t="s">
        <v>7</v>
      </c>
      <c r="C11" s="82"/>
      <c r="D11" s="82"/>
      <c r="E11" s="82"/>
      <c r="F11" s="82"/>
      <c r="G11" s="82"/>
      <c r="H11" s="82"/>
      <c r="I11" s="82"/>
      <c r="J11" s="82"/>
      <c r="K11" s="82"/>
      <c r="L11" s="34">
        <f>SUBTOTAL(2,B15:B64)</f>
        <v>50</v>
      </c>
      <c r="M11" s="83" t="s">
        <v>8</v>
      </c>
      <c r="N11" s="83"/>
      <c r="O11" s="64" t="s">
        <v>9</v>
      </c>
      <c r="P11" s="65">
        <f t="shared" ref="P11:AA11" si="0">SUBTOTAL(9,P15:P64)</f>
        <v>21.1</v>
      </c>
      <c r="Q11" s="65">
        <f t="shared" si="0"/>
        <v>21.1</v>
      </c>
      <c r="R11" s="65">
        <f t="shared" si="0"/>
        <v>26.375</v>
      </c>
      <c r="S11" s="65">
        <f t="shared" si="0"/>
        <v>211</v>
      </c>
      <c r="T11" s="65">
        <f t="shared" si="0"/>
        <v>26.375</v>
      </c>
      <c r="U11" s="65">
        <f t="shared" si="0"/>
        <v>79.125</v>
      </c>
      <c r="V11" s="65">
        <f t="shared" si="0"/>
        <v>52.75</v>
      </c>
      <c r="W11" s="65">
        <f t="shared" si="0"/>
        <v>15.825000000000001</v>
      </c>
      <c r="X11" s="65">
        <f t="shared" si="0"/>
        <v>15.825000000000001</v>
      </c>
      <c r="Y11" s="65">
        <f t="shared" si="0"/>
        <v>52.75</v>
      </c>
      <c r="Z11" s="65">
        <f t="shared" si="0"/>
        <v>5.2750000000000004</v>
      </c>
      <c r="AA11" s="65">
        <f t="shared" si="0"/>
        <v>527.5</v>
      </c>
    </row>
    <row r="12" spans="2:31" ht="21.75" thickBot="1">
      <c r="B12" s="82"/>
      <c r="C12" s="82"/>
      <c r="D12" s="82"/>
      <c r="E12" s="82"/>
      <c r="F12" s="82"/>
      <c r="G12" s="82"/>
      <c r="H12" s="82"/>
      <c r="I12" s="82"/>
      <c r="J12" s="82"/>
      <c r="K12" s="82"/>
      <c r="L12" s="63" t="s">
        <v>10</v>
      </c>
      <c r="M12" s="63" t="s">
        <v>11</v>
      </c>
      <c r="N12" s="35"/>
      <c r="O12" s="33" t="s">
        <v>12</v>
      </c>
      <c r="P12" s="33">
        <v>0.04</v>
      </c>
      <c r="Q12" s="33">
        <v>0.04</v>
      </c>
      <c r="R12" s="33">
        <v>0.05</v>
      </c>
      <c r="S12" s="36">
        <v>0.4</v>
      </c>
      <c r="T12" s="36">
        <v>0.05</v>
      </c>
      <c r="U12" s="37">
        <v>0.15</v>
      </c>
      <c r="V12" s="37">
        <v>0.1</v>
      </c>
      <c r="W12" s="37">
        <v>0.03</v>
      </c>
      <c r="X12" s="37">
        <v>0.03</v>
      </c>
      <c r="Y12" s="37">
        <v>0.1</v>
      </c>
      <c r="Z12" s="37">
        <v>0.01</v>
      </c>
      <c r="AA12" s="38">
        <f>SUM(P12:Z12)</f>
        <v>1</v>
      </c>
    </row>
    <row r="13" spans="2:31" ht="12.75">
      <c r="B13" s="82"/>
      <c r="C13" s="82"/>
      <c r="D13" s="82"/>
      <c r="E13" s="82"/>
      <c r="F13" s="82"/>
      <c r="G13" s="82"/>
      <c r="H13" s="82"/>
      <c r="I13" s="82"/>
      <c r="J13" s="82"/>
      <c r="K13" s="82"/>
      <c r="L13" s="39">
        <f>SUBTOTAL(9,L15:L64)</f>
        <v>0</v>
      </c>
      <c r="M13" s="39">
        <f>SUBTOTAL(9,M15:M64)</f>
        <v>211</v>
      </c>
      <c r="N13" s="35"/>
      <c r="O13" s="84"/>
      <c r="P13" s="84"/>
      <c r="Q13" s="84"/>
      <c r="R13" s="84"/>
      <c r="S13" s="84"/>
      <c r="T13" s="84"/>
      <c r="U13" s="84"/>
      <c r="V13" s="84"/>
      <c r="W13" s="84"/>
      <c r="X13" s="84"/>
      <c r="Y13" s="84"/>
      <c r="Z13" s="84"/>
      <c r="AA13" s="84"/>
    </row>
    <row r="14" spans="2:31" s="24" customFormat="1" ht="27.75" customHeight="1" thickBot="1">
      <c r="B14" s="53" t="s">
        <v>13</v>
      </c>
      <c r="C14" s="53" t="s">
        <v>14</v>
      </c>
      <c r="D14" s="54" t="s">
        <v>15</v>
      </c>
      <c r="E14" s="53" t="s">
        <v>16</v>
      </c>
      <c r="F14" s="55" t="s">
        <v>17</v>
      </c>
      <c r="G14" s="55" t="s">
        <v>18</v>
      </c>
      <c r="H14" s="55" t="s">
        <v>19</v>
      </c>
      <c r="I14" s="55" t="s">
        <v>20</v>
      </c>
      <c r="J14" s="55" t="s">
        <v>21</v>
      </c>
      <c r="K14" s="56" t="s">
        <v>22</v>
      </c>
      <c r="L14" s="57" t="s">
        <v>23</v>
      </c>
      <c r="M14" s="58" t="s">
        <v>24</v>
      </c>
      <c r="N14" s="59" t="s">
        <v>25</v>
      </c>
      <c r="O14" s="60" t="s">
        <v>26</v>
      </c>
      <c r="P14" s="61" t="s">
        <v>27</v>
      </c>
      <c r="Q14" s="61" t="s">
        <v>28</v>
      </c>
      <c r="R14" s="61" t="s">
        <v>29</v>
      </c>
      <c r="S14" s="61" t="s">
        <v>30</v>
      </c>
      <c r="T14" s="61" t="s">
        <v>31</v>
      </c>
      <c r="U14" s="61" t="s">
        <v>32</v>
      </c>
      <c r="V14" s="61" t="s">
        <v>33</v>
      </c>
      <c r="W14" s="61" t="s">
        <v>34</v>
      </c>
      <c r="X14" s="61" t="s">
        <v>35</v>
      </c>
      <c r="Y14" s="61" t="s">
        <v>36</v>
      </c>
      <c r="Z14" s="62" t="s">
        <v>37</v>
      </c>
      <c r="AA14" s="62" t="s">
        <v>38</v>
      </c>
      <c r="AB14" s="77" t="s">
        <v>49</v>
      </c>
      <c r="AC14" s="77" t="s">
        <v>50</v>
      </c>
      <c r="AD14" s="77" t="s">
        <v>52</v>
      </c>
      <c r="AE14" s="77" t="s">
        <v>106</v>
      </c>
    </row>
    <row r="15" spans="2:31" ht="31.5">
      <c r="B15" s="40">
        <v>1</v>
      </c>
      <c r="C15" s="41" t="s">
        <v>68</v>
      </c>
      <c r="D15" s="42" t="s">
        <v>70</v>
      </c>
      <c r="E15" s="42"/>
      <c r="F15" s="42"/>
      <c r="G15" s="43" t="s">
        <v>39</v>
      </c>
      <c r="H15" s="43"/>
      <c r="I15" s="43" t="s">
        <v>48</v>
      </c>
      <c r="J15" s="43"/>
      <c r="K15" s="44"/>
      <c r="L15" s="45"/>
      <c r="M15" s="46">
        <v>7</v>
      </c>
      <c r="N15" s="47"/>
      <c r="O15" s="48" t="s">
        <v>41</v>
      </c>
      <c r="P15" s="49">
        <f>S15*$P$12/$S$12</f>
        <v>0.70000000000000007</v>
      </c>
      <c r="Q15" s="50">
        <f>S15*$Q$12/$S$12</f>
        <v>0.70000000000000007</v>
      </c>
      <c r="R15" s="50">
        <f>S15*$R$12/$S$12</f>
        <v>0.875</v>
      </c>
      <c r="S15" s="46">
        <f>IF(OR(N15="X",N15="x"),L15,M15)</f>
        <v>7</v>
      </c>
      <c r="T15" s="46">
        <f>S15*$T$12/$S$12</f>
        <v>0.875</v>
      </c>
      <c r="U15" s="46">
        <f>S15*$U$12/$S$12</f>
        <v>2.625</v>
      </c>
      <c r="V15" s="46">
        <f>S15*$V$12/$S$12</f>
        <v>1.75</v>
      </c>
      <c r="W15" s="46">
        <f>S15*$W$12/$S$12</f>
        <v>0.52499999999999991</v>
      </c>
      <c r="X15" s="46">
        <f>S15*$X$12/$S$12</f>
        <v>0.52499999999999991</v>
      </c>
      <c r="Y15" s="46">
        <f>S15*$Y$12/$S$12</f>
        <v>1.75</v>
      </c>
      <c r="Z15" s="46">
        <f>S15*$Z$12/$S$12</f>
        <v>0.17500000000000002</v>
      </c>
      <c r="AA15" s="67">
        <f t="shared" ref="AA15:AA64" si="1">SUM(P15:Z15)</f>
        <v>17.500000000000004</v>
      </c>
      <c r="AB15" s="75">
        <f>(Q15*100)+(P15*80)+((S15+V15)*40)+((T15+U15)*40)</f>
        <v>616</v>
      </c>
      <c r="AC15" s="76">
        <f>SUM(AB15:AB64)</f>
        <v>18568</v>
      </c>
      <c r="AD15" s="76">
        <f>AC15+(AC15*0.1)</f>
        <v>20424.8</v>
      </c>
      <c r="AE15" s="76">
        <f>AD15-AC15</f>
        <v>1856.7999999999993</v>
      </c>
    </row>
    <row r="16" spans="2:31" ht="29.45" customHeight="1">
      <c r="B16" s="40">
        <f>B15+1</f>
        <v>2</v>
      </c>
      <c r="C16" s="41" t="s">
        <v>68</v>
      </c>
      <c r="D16" s="42" t="s">
        <v>71</v>
      </c>
      <c r="E16" s="42"/>
      <c r="F16" s="42"/>
      <c r="G16" s="43" t="s">
        <v>39</v>
      </c>
      <c r="H16" s="43"/>
      <c r="I16" s="43" t="s">
        <v>48</v>
      </c>
      <c r="J16" s="43"/>
      <c r="K16" s="44"/>
      <c r="L16" s="45"/>
      <c r="M16" s="46">
        <v>5</v>
      </c>
      <c r="N16" s="51"/>
      <c r="O16" s="52" t="s">
        <v>40</v>
      </c>
      <c r="P16" s="49">
        <f t="shared" ref="P16:P63" si="2">S16*$P$12/$S$12</f>
        <v>0.5</v>
      </c>
      <c r="Q16" s="50">
        <f t="shared" ref="Q16:Q64" si="3">S16*$Q$12/$S$12</f>
        <v>0.5</v>
      </c>
      <c r="R16" s="50">
        <f t="shared" ref="R16:R64" si="4">S16*$R$12/$S$12</f>
        <v>0.625</v>
      </c>
      <c r="S16" s="46">
        <f t="shared" ref="S16:S64" si="5">IF(OR(N16="X",N16="x"),L16,M16)</f>
        <v>5</v>
      </c>
      <c r="T16" s="46">
        <f t="shared" ref="T16:T64" si="6">S16*$T$12/$S$12</f>
        <v>0.625</v>
      </c>
      <c r="U16" s="46">
        <f t="shared" ref="U16:U64" si="7">S16*$U$12/$S$12</f>
        <v>1.875</v>
      </c>
      <c r="V16" s="46">
        <f t="shared" ref="V16:V64" si="8">S16*$V$12/$S$12</f>
        <v>1.25</v>
      </c>
      <c r="W16" s="46">
        <f t="shared" ref="W16:W64" si="9">S16*$W$12/$S$12</f>
        <v>0.37499999999999994</v>
      </c>
      <c r="X16" s="46">
        <f t="shared" ref="X16:X64" si="10">S16*$X$12/$S$12</f>
        <v>0.37499999999999994</v>
      </c>
      <c r="Y16" s="46">
        <f t="shared" ref="Y16:Y64" si="11">S16*$Y$12/$S$12</f>
        <v>1.25</v>
      </c>
      <c r="Z16" s="46">
        <f t="shared" ref="Z16:Z64" si="12">S16*$Z$12/$S$12</f>
        <v>0.125</v>
      </c>
      <c r="AA16" s="67">
        <f t="shared" si="1"/>
        <v>12.5</v>
      </c>
      <c r="AB16" s="68">
        <f t="shared" ref="AB16:AB64" si="13">(Q16*100)+(P16*80)+((S16+V16)*40)+((T16+U16)*40)</f>
        <v>440</v>
      </c>
    </row>
    <row r="17" spans="2:28" ht="33" customHeight="1">
      <c r="B17" s="40">
        <f t="shared" ref="B17:B64" si="14">B16+1</f>
        <v>3</v>
      </c>
      <c r="C17" s="41" t="s">
        <v>68</v>
      </c>
      <c r="D17" s="42" t="s">
        <v>72</v>
      </c>
      <c r="E17" s="42"/>
      <c r="F17" s="42"/>
      <c r="G17" s="43" t="s">
        <v>39</v>
      </c>
      <c r="H17" s="43"/>
      <c r="I17" s="43" t="s">
        <v>48</v>
      </c>
      <c r="J17" s="43"/>
      <c r="K17" s="44"/>
      <c r="L17" s="45"/>
      <c r="M17" s="46">
        <v>6</v>
      </c>
      <c r="N17" s="47"/>
      <c r="O17" s="48" t="s">
        <v>40</v>
      </c>
      <c r="P17" s="49">
        <f t="shared" si="2"/>
        <v>0.6</v>
      </c>
      <c r="Q17" s="50">
        <f t="shared" si="3"/>
        <v>0.6</v>
      </c>
      <c r="R17" s="50">
        <f t="shared" si="4"/>
        <v>0.75000000000000011</v>
      </c>
      <c r="S17" s="46">
        <f t="shared" si="5"/>
        <v>6</v>
      </c>
      <c r="T17" s="46">
        <f t="shared" si="6"/>
        <v>0.75000000000000011</v>
      </c>
      <c r="U17" s="46">
        <f t="shared" si="7"/>
        <v>2.2499999999999996</v>
      </c>
      <c r="V17" s="46">
        <f t="shared" si="8"/>
        <v>1.5000000000000002</v>
      </c>
      <c r="W17" s="46">
        <f t="shared" si="9"/>
        <v>0.44999999999999996</v>
      </c>
      <c r="X17" s="46">
        <f t="shared" si="10"/>
        <v>0.44999999999999996</v>
      </c>
      <c r="Y17" s="46">
        <f t="shared" si="11"/>
        <v>1.5000000000000002</v>
      </c>
      <c r="Z17" s="46">
        <f t="shared" si="12"/>
        <v>0.15</v>
      </c>
      <c r="AA17" s="67">
        <f t="shared" si="1"/>
        <v>15</v>
      </c>
      <c r="AB17" s="68">
        <f t="shared" si="13"/>
        <v>528</v>
      </c>
    </row>
    <row r="18" spans="2:28" ht="43.9" customHeight="1">
      <c r="B18" s="40">
        <f t="shared" si="14"/>
        <v>4</v>
      </c>
      <c r="C18" s="41" t="s">
        <v>68</v>
      </c>
      <c r="D18" s="42" t="s">
        <v>73</v>
      </c>
      <c r="E18" s="42"/>
      <c r="F18" s="42"/>
      <c r="G18" s="43" t="s">
        <v>39</v>
      </c>
      <c r="H18" s="43"/>
      <c r="I18" s="43" t="s">
        <v>48</v>
      </c>
      <c r="J18" s="43"/>
      <c r="K18" s="44"/>
      <c r="L18" s="45"/>
      <c r="M18" s="46">
        <v>8</v>
      </c>
      <c r="N18" s="47"/>
      <c r="O18" s="48" t="s">
        <v>41</v>
      </c>
      <c r="P18" s="49">
        <f t="shared" si="2"/>
        <v>0.79999999999999993</v>
      </c>
      <c r="Q18" s="50">
        <f t="shared" si="3"/>
        <v>0.79999999999999993</v>
      </c>
      <c r="R18" s="50">
        <f t="shared" si="4"/>
        <v>1</v>
      </c>
      <c r="S18" s="46">
        <f t="shared" si="5"/>
        <v>8</v>
      </c>
      <c r="T18" s="46">
        <f t="shared" si="6"/>
        <v>1</v>
      </c>
      <c r="U18" s="46">
        <f t="shared" si="7"/>
        <v>2.9999999999999996</v>
      </c>
      <c r="V18" s="46">
        <f t="shared" si="8"/>
        <v>2</v>
      </c>
      <c r="W18" s="46">
        <f t="shared" si="9"/>
        <v>0.6</v>
      </c>
      <c r="X18" s="46">
        <f t="shared" si="10"/>
        <v>0.6</v>
      </c>
      <c r="Y18" s="46">
        <f t="shared" si="11"/>
        <v>2</v>
      </c>
      <c r="Z18" s="46">
        <f t="shared" si="12"/>
        <v>0.19999999999999998</v>
      </c>
      <c r="AA18" s="67">
        <f t="shared" si="1"/>
        <v>20.000000000000004</v>
      </c>
      <c r="AB18" s="68">
        <f t="shared" si="13"/>
        <v>704</v>
      </c>
    </row>
    <row r="19" spans="2:28" ht="39" customHeight="1">
      <c r="B19" s="40">
        <f t="shared" si="14"/>
        <v>5</v>
      </c>
      <c r="C19" s="41" t="s">
        <v>68</v>
      </c>
      <c r="D19" s="42" t="s">
        <v>74</v>
      </c>
      <c r="E19" s="42"/>
      <c r="F19" s="42"/>
      <c r="G19" s="43" t="s">
        <v>39</v>
      </c>
      <c r="H19" s="43"/>
      <c r="I19" s="43" t="s">
        <v>48</v>
      </c>
      <c r="J19" s="43"/>
      <c r="K19" s="44"/>
      <c r="L19" s="45"/>
      <c r="M19" s="46">
        <v>4</v>
      </c>
      <c r="N19" s="51"/>
      <c r="O19" s="52" t="s">
        <v>40</v>
      </c>
      <c r="P19" s="49">
        <f t="shared" si="2"/>
        <v>0.39999999999999997</v>
      </c>
      <c r="Q19" s="50">
        <f t="shared" si="3"/>
        <v>0.39999999999999997</v>
      </c>
      <c r="R19" s="50">
        <f t="shared" si="4"/>
        <v>0.5</v>
      </c>
      <c r="S19" s="46">
        <f t="shared" si="5"/>
        <v>4</v>
      </c>
      <c r="T19" s="46">
        <f t="shared" si="6"/>
        <v>0.5</v>
      </c>
      <c r="U19" s="46">
        <f t="shared" si="7"/>
        <v>1.4999999999999998</v>
      </c>
      <c r="V19" s="46">
        <f t="shared" si="8"/>
        <v>1</v>
      </c>
      <c r="W19" s="46">
        <f t="shared" si="9"/>
        <v>0.3</v>
      </c>
      <c r="X19" s="46">
        <f t="shared" si="10"/>
        <v>0.3</v>
      </c>
      <c r="Y19" s="46">
        <f t="shared" si="11"/>
        <v>1</v>
      </c>
      <c r="Z19" s="46">
        <f t="shared" si="12"/>
        <v>9.9999999999999992E-2</v>
      </c>
      <c r="AA19" s="67">
        <f t="shared" si="1"/>
        <v>10.000000000000002</v>
      </c>
      <c r="AB19" s="68">
        <f t="shared" si="13"/>
        <v>352</v>
      </c>
    </row>
    <row r="20" spans="2:28" ht="54.6" customHeight="1">
      <c r="B20" s="40">
        <f t="shared" si="14"/>
        <v>6</v>
      </c>
      <c r="C20" s="41" t="s">
        <v>68</v>
      </c>
      <c r="D20" s="42" t="s">
        <v>55</v>
      </c>
      <c r="E20" s="42"/>
      <c r="F20" s="42"/>
      <c r="G20" s="43" t="s">
        <v>39</v>
      </c>
      <c r="H20" s="43"/>
      <c r="I20" s="43" t="s">
        <v>48</v>
      </c>
      <c r="J20" s="43"/>
      <c r="K20" s="44"/>
      <c r="L20" s="45"/>
      <c r="M20" s="46">
        <v>3</v>
      </c>
      <c r="N20" s="47"/>
      <c r="O20" s="48" t="s">
        <v>42</v>
      </c>
      <c r="P20" s="49">
        <f t="shared" si="2"/>
        <v>0.3</v>
      </c>
      <c r="Q20" s="50">
        <f t="shared" si="3"/>
        <v>0.3</v>
      </c>
      <c r="R20" s="50">
        <f t="shared" si="4"/>
        <v>0.37500000000000006</v>
      </c>
      <c r="S20" s="46">
        <f t="shared" si="5"/>
        <v>3</v>
      </c>
      <c r="T20" s="46">
        <f t="shared" si="6"/>
        <v>0.37500000000000006</v>
      </c>
      <c r="U20" s="46">
        <f t="shared" si="7"/>
        <v>1.1249999999999998</v>
      </c>
      <c r="V20" s="46">
        <f t="shared" si="8"/>
        <v>0.75000000000000011</v>
      </c>
      <c r="W20" s="46">
        <f t="shared" si="9"/>
        <v>0.22499999999999998</v>
      </c>
      <c r="X20" s="46">
        <f t="shared" si="10"/>
        <v>0.22499999999999998</v>
      </c>
      <c r="Y20" s="46">
        <f t="shared" si="11"/>
        <v>0.75000000000000011</v>
      </c>
      <c r="Z20" s="46">
        <f t="shared" si="12"/>
        <v>7.4999999999999997E-2</v>
      </c>
      <c r="AA20" s="67">
        <f t="shared" si="1"/>
        <v>7.5</v>
      </c>
      <c r="AB20" s="68">
        <f t="shared" si="13"/>
        <v>264</v>
      </c>
    </row>
    <row r="21" spans="2:28" ht="21">
      <c r="B21" s="40">
        <f t="shared" si="14"/>
        <v>7</v>
      </c>
      <c r="C21" s="41" t="s">
        <v>68</v>
      </c>
      <c r="D21" s="42" t="s">
        <v>75</v>
      </c>
      <c r="E21" s="42"/>
      <c r="F21" s="42"/>
      <c r="G21" s="43" t="s">
        <v>39</v>
      </c>
      <c r="H21" s="43"/>
      <c r="I21" s="43" t="s">
        <v>48</v>
      </c>
      <c r="J21" s="43"/>
      <c r="K21" s="44"/>
      <c r="L21" s="45"/>
      <c r="M21" s="72">
        <v>5</v>
      </c>
      <c r="N21" s="51"/>
      <c r="O21" s="52" t="s">
        <v>40</v>
      </c>
      <c r="P21" s="49">
        <f t="shared" si="2"/>
        <v>0.5</v>
      </c>
      <c r="Q21" s="50">
        <f t="shared" si="3"/>
        <v>0.5</v>
      </c>
      <c r="R21" s="50">
        <f t="shared" si="4"/>
        <v>0.625</v>
      </c>
      <c r="S21" s="46">
        <f t="shared" si="5"/>
        <v>5</v>
      </c>
      <c r="T21" s="46">
        <f t="shared" si="6"/>
        <v>0.625</v>
      </c>
      <c r="U21" s="46">
        <f t="shared" si="7"/>
        <v>1.875</v>
      </c>
      <c r="V21" s="46">
        <f t="shared" si="8"/>
        <v>1.25</v>
      </c>
      <c r="W21" s="46">
        <f t="shared" si="9"/>
        <v>0.37499999999999994</v>
      </c>
      <c r="X21" s="46">
        <f t="shared" si="10"/>
        <v>0.37499999999999994</v>
      </c>
      <c r="Y21" s="46">
        <f t="shared" si="11"/>
        <v>1.25</v>
      </c>
      <c r="Z21" s="46">
        <f t="shared" si="12"/>
        <v>0.125</v>
      </c>
      <c r="AA21" s="67">
        <f t="shared" si="1"/>
        <v>12.5</v>
      </c>
      <c r="AB21" s="68">
        <f t="shared" si="13"/>
        <v>440</v>
      </c>
    </row>
    <row r="22" spans="2:28" ht="31.5">
      <c r="B22" s="40">
        <f t="shared" si="14"/>
        <v>8</v>
      </c>
      <c r="C22" s="41" t="s">
        <v>68</v>
      </c>
      <c r="D22" s="42" t="s">
        <v>76</v>
      </c>
      <c r="E22" s="42"/>
      <c r="F22" s="42"/>
      <c r="G22" s="43" t="s">
        <v>39</v>
      </c>
      <c r="H22" s="43"/>
      <c r="I22" s="43" t="s">
        <v>48</v>
      </c>
      <c r="J22" s="43"/>
      <c r="K22" s="44"/>
      <c r="L22" s="45"/>
      <c r="M22" s="72">
        <v>2</v>
      </c>
      <c r="N22" s="51"/>
      <c r="O22" s="52" t="s">
        <v>42</v>
      </c>
      <c r="P22" s="49">
        <f t="shared" si="2"/>
        <v>0.19999999999999998</v>
      </c>
      <c r="Q22" s="50">
        <f t="shared" si="3"/>
        <v>0.19999999999999998</v>
      </c>
      <c r="R22" s="50">
        <f t="shared" si="4"/>
        <v>0.25</v>
      </c>
      <c r="S22" s="46">
        <f t="shared" si="5"/>
        <v>2</v>
      </c>
      <c r="T22" s="46">
        <f t="shared" si="6"/>
        <v>0.25</v>
      </c>
      <c r="U22" s="46">
        <f t="shared" si="7"/>
        <v>0.74999999999999989</v>
      </c>
      <c r="V22" s="46">
        <f t="shared" si="8"/>
        <v>0.5</v>
      </c>
      <c r="W22" s="46">
        <f t="shared" si="9"/>
        <v>0.15</v>
      </c>
      <c r="X22" s="46">
        <f t="shared" si="10"/>
        <v>0.15</v>
      </c>
      <c r="Y22" s="46">
        <f t="shared" si="11"/>
        <v>0.5</v>
      </c>
      <c r="Z22" s="46">
        <f t="shared" si="12"/>
        <v>4.9999999999999996E-2</v>
      </c>
      <c r="AA22" s="67">
        <f t="shared" si="1"/>
        <v>5.0000000000000009</v>
      </c>
      <c r="AB22" s="68">
        <f t="shared" si="13"/>
        <v>176</v>
      </c>
    </row>
    <row r="23" spans="2:28" ht="21">
      <c r="B23" s="40">
        <f t="shared" si="14"/>
        <v>9</v>
      </c>
      <c r="C23" s="41" t="s">
        <v>68</v>
      </c>
      <c r="D23" s="42" t="s">
        <v>77</v>
      </c>
      <c r="E23" s="42"/>
      <c r="F23" s="42"/>
      <c r="G23" s="43" t="s">
        <v>39</v>
      </c>
      <c r="H23" s="43"/>
      <c r="I23" s="43" t="s">
        <v>48</v>
      </c>
      <c r="J23" s="43"/>
      <c r="K23" s="44"/>
      <c r="L23" s="45"/>
      <c r="M23" s="72">
        <v>8</v>
      </c>
      <c r="N23" s="51"/>
      <c r="O23" s="52" t="s">
        <v>41</v>
      </c>
      <c r="P23" s="49">
        <f t="shared" si="2"/>
        <v>0.79999999999999993</v>
      </c>
      <c r="Q23" s="50">
        <f t="shared" si="3"/>
        <v>0.79999999999999993</v>
      </c>
      <c r="R23" s="50">
        <f t="shared" si="4"/>
        <v>1</v>
      </c>
      <c r="S23" s="46">
        <f t="shared" si="5"/>
        <v>8</v>
      </c>
      <c r="T23" s="46">
        <f t="shared" si="6"/>
        <v>1</v>
      </c>
      <c r="U23" s="46">
        <f t="shared" si="7"/>
        <v>2.9999999999999996</v>
      </c>
      <c r="V23" s="46">
        <f t="shared" si="8"/>
        <v>2</v>
      </c>
      <c r="W23" s="46">
        <f t="shared" si="9"/>
        <v>0.6</v>
      </c>
      <c r="X23" s="46">
        <f t="shared" si="10"/>
        <v>0.6</v>
      </c>
      <c r="Y23" s="46">
        <f t="shared" si="11"/>
        <v>2</v>
      </c>
      <c r="Z23" s="46">
        <f t="shared" si="12"/>
        <v>0.19999999999999998</v>
      </c>
      <c r="AA23" s="67">
        <f t="shared" si="1"/>
        <v>20.000000000000004</v>
      </c>
      <c r="AB23" s="68">
        <f t="shared" si="13"/>
        <v>704</v>
      </c>
    </row>
    <row r="24" spans="2:28" ht="52.5">
      <c r="B24" s="40">
        <f t="shared" si="14"/>
        <v>10</v>
      </c>
      <c r="C24" s="41" t="s">
        <v>68</v>
      </c>
      <c r="D24" s="73" t="s">
        <v>78</v>
      </c>
      <c r="E24" s="42"/>
      <c r="F24" s="42"/>
      <c r="G24" s="43" t="s">
        <v>39</v>
      </c>
      <c r="H24" s="43"/>
      <c r="I24" s="43" t="s">
        <v>48</v>
      </c>
      <c r="J24" s="43"/>
      <c r="K24" s="44"/>
      <c r="L24" s="45"/>
      <c r="M24" s="72">
        <v>2</v>
      </c>
      <c r="N24" s="47"/>
      <c r="O24" s="48" t="s">
        <v>42</v>
      </c>
      <c r="P24" s="49">
        <f t="shared" si="2"/>
        <v>0.19999999999999998</v>
      </c>
      <c r="Q24" s="50">
        <f t="shared" si="3"/>
        <v>0.19999999999999998</v>
      </c>
      <c r="R24" s="50">
        <f t="shared" si="4"/>
        <v>0.25</v>
      </c>
      <c r="S24" s="46">
        <f t="shared" si="5"/>
        <v>2</v>
      </c>
      <c r="T24" s="46">
        <f t="shared" si="6"/>
        <v>0.25</v>
      </c>
      <c r="U24" s="46">
        <f t="shared" si="7"/>
        <v>0.74999999999999989</v>
      </c>
      <c r="V24" s="46">
        <f t="shared" si="8"/>
        <v>0.5</v>
      </c>
      <c r="W24" s="46">
        <f t="shared" si="9"/>
        <v>0.15</v>
      </c>
      <c r="X24" s="46">
        <f t="shared" si="10"/>
        <v>0.15</v>
      </c>
      <c r="Y24" s="46">
        <f t="shared" si="11"/>
        <v>0.5</v>
      </c>
      <c r="Z24" s="46">
        <f t="shared" si="12"/>
        <v>4.9999999999999996E-2</v>
      </c>
      <c r="AA24" s="67">
        <f t="shared" si="1"/>
        <v>5.0000000000000009</v>
      </c>
      <c r="AB24" s="68">
        <f t="shared" si="13"/>
        <v>176</v>
      </c>
    </row>
    <row r="25" spans="2:28" ht="42">
      <c r="B25" s="40">
        <f t="shared" si="14"/>
        <v>11</v>
      </c>
      <c r="C25" s="41" t="s">
        <v>68</v>
      </c>
      <c r="D25" s="73" t="s">
        <v>53</v>
      </c>
      <c r="E25" s="42"/>
      <c r="F25" s="42"/>
      <c r="G25" s="43" t="s">
        <v>39</v>
      </c>
      <c r="H25" s="43"/>
      <c r="I25" s="43" t="s">
        <v>48</v>
      </c>
      <c r="J25" s="43"/>
      <c r="K25" s="44"/>
      <c r="L25" s="45"/>
      <c r="M25" s="72">
        <v>3</v>
      </c>
      <c r="N25" s="51"/>
      <c r="O25" s="52" t="s">
        <v>42</v>
      </c>
      <c r="P25" s="49">
        <f t="shared" si="2"/>
        <v>0.3</v>
      </c>
      <c r="Q25" s="50">
        <f t="shared" si="3"/>
        <v>0.3</v>
      </c>
      <c r="R25" s="50">
        <f t="shared" si="4"/>
        <v>0.37500000000000006</v>
      </c>
      <c r="S25" s="46">
        <f t="shared" si="5"/>
        <v>3</v>
      </c>
      <c r="T25" s="46">
        <f t="shared" si="6"/>
        <v>0.37500000000000006</v>
      </c>
      <c r="U25" s="46">
        <f t="shared" si="7"/>
        <v>1.1249999999999998</v>
      </c>
      <c r="V25" s="46">
        <f t="shared" si="8"/>
        <v>0.75000000000000011</v>
      </c>
      <c r="W25" s="46">
        <f t="shared" si="9"/>
        <v>0.22499999999999998</v>
      </c>
      <c r="X25" s="46">
        <f t="shared" si="10"/>
        <v>0.22499999999999998</v>
      </c>
      <c r="Y25" s="46">
        <f t="shared" si="11"/>
        <v>0.75000000000000011</v>
      </c>
      <c r="Z25" s="46">
        <f t="shared" si="12"/>
        <v>7.4999999999999997E-2</v>
      </c>
      <c r="AA25" s="67">
        <f t="shared" si="1"/>
        <v>7.5</v>
      </c>
      <c r="AB25" s="68">
        <f t="shared" si="13"/>
        <v>264</v>
      </c>
    </row>
    <row r="26" spans="2:28" ht="51.6" customHeight="1">
      <c r="B26" s="40">
        <f t="shared" si="14"/>
        <v>12</v>
      </c>
      <c r="C26" s="41" t="s">
        <v>68</v>
      </c>
      <c r="D26" s="73" t="s">
        <v>54</v>
      </c>
      <c r="E26" s="42"/>
      <c r="F26" s="42"/>
      <c r="G26" s="43" t="s">
        <v>39</v>
      </c>
      <c r="H26" s="43"/>
      <c r="I26" s="43" t="s">
        <v>48</v>
      </c>
      <c r="J26" s="43"/>
      <c r="K26" s="44"/>
      <c r="L26" s="45"/>
      <c r="M26" s="72">
        <v>4</v>
      </c>
      <c r="N26" s="51"/>
      <c r="O26" s="52" t="s">
        <v>40</v>
      </c>
      <c r="P26" s="49">
        <f t="shared" si="2"/>
        <v>0.39999999999999997</v>
      </c>
      <c r="Q26" s="50">
        <f t="shared" si="3"/>
        <v>0.39999999999999997</v>
      </c>
      <c r="R26" s="50">
        <f t="shared" si="4"/>
        <v>0.5</v>
      </c>
      <c r="S26" s="46">
        <f t="shared" si="5"/>
        <v>4</v>
      </c>
      <c r="T26" s="46">
        <f t="shared" si="6"/>
        <v>0.5</v>
      </c>
      <c r="U26" s="46">
        <f t="shared" si="7"/>
        <v>1.4999999999999998</v>
      </c>
      <c r="V26" s="46">
        <f t="shared" si="8"/>
        <v>1</v>
      </c>
      <c r="W26" s="46">
        <f t="shared" si="9"/>
        <v>0.3</v>
      </c>
      <c r="X26" s="46">
        <f t="shared" si="10"/>
        <v>0.3</v>
      </c>
      <c r="Y26" s="46">
        <f t="shared" si="11"/>
        <v>1</v>
      </c>
      <c r="Z26" s="46">
        <f t="shared" si="12"/>
        <v>9.9999999999999992E-2</v>
      </c>
      <c r="AA26" s="67">
        <f t="shared" si="1"/>
        <v>10.000000000000002</v>
      </c>
      <c r="AB26" s="68">
        <f t="shared" si="13"/>
        <v>352</v>
      </c>
    </row>
    <row r="27" spans="2:28" ht="52.5">
      <c r="B27" s="40">
        <f t="shared" si="14"/>
        <v>13</v>
      </c>
      <c r="C27" s="41" t="s">
        <v>68</v>
      </c>
      <c r="D27" s="73" t="s">
        <v>61</v>
      </c>
      <c r="E27" s="42"/>
      <c r="F27" s="42"/>
      <c r="G27" s="43" t="s">
        <v>39</v>
      </c>
      <c r="H27" s="43"/>
      <c r="I27" s="43" t="s">
        <v>48</v>
      </c>
      <c r="J27" s="43"/>
      <c r="K27" s="44"/>
      <c r="L27" s="45"/>
      <c r="M27" s="46">
        <v>7</v>
      </c>
      <c r="N27" s="47"/>
      <c r="O27" s="48" t="s">
        <v>41</v>
      </c>
      <c r="P27" s="49">
        <f t="shared" si="2"/>
        <v>0.70000000000000007</v>
      </c>
      <c r="Q27" s="50">
        <f t="shared" si="3"/>
        <v>0.70000000000000007</v>
      </c>
      <c r="R27" s="50">
        <f t="shared" si="4"/>
        <v>0.875</v>
      </c>
      <c r="S27" s="46">
        <f t="shared" si="5"/>
        <v>7</v>
      </c>
      <c r="T27" s="46">
        <f t="shared" si="6"/>
        <v>0.875</v>
      </c>
      <c r="U27" s="46">
        <f t="shared" si="7"/>
        <v>2.625</v>
      </c>
      <c r="V27" s="46">
        <f t="shared" si="8"/>
        <v>1.75</v>
      </c>
      <c r="W27" s="46">
        <f t="shared" si="9"/>
        <v>0.52499999999999991</v>
      </c>
      <c r="X27" s="46">
        <f t="shared" si="10"/>
        <v>0.52499999999999991</v>
      </c>
      <c r="Y27" s="46">
        <f t="shared" si="11"/>
        <v>1.75</v>
      </c>
      <c r="Z27" s="46">
        <f t="shared" si="12"/>
        <v>0.17500000000000002</v>
      </c>
      <c r="AA27" s="67">
        <f t="shared" si="1"/>
        <v>17.500000000000004</v>
      </c>
      <c r="AB27" s="68">
        <f t="shared" si="13"/>
        <v>616</v>
      </c>
    </row>
    <row r="28" spans="2:28" ht="31.5">
      <c r="B28" s="40">
        <f t="shared" si="14"/>
        <v>14</v>
      </c>
      <c r="C28" s="41" t="s">
        <v>68</v>
      </c>
      <c r="D28" s="73" t="s">
        <v>62</v>
      </c>
      <c r="E28" s="42"/>
      <c r="F28" s="42"/>
      <c r="G28" s="43" t="s">
        <v>39</v>
      </c>
      <c r="H28" s="43"/>
      <c r="I28" s="43" t="s">
        <v>48</v>
      </c>
      <c r="J28" s="43"/>
      <c r="K28" s="44"/>
      <c r="L28" s="45"/>
      <c r="M28" s="46">
        <v>3</v>
      </c>
      <c r="N28" s="51"/>
      <c r="O28" s="52" t="s">
        <v>42</v>
      </c>
      <c r="P28" s="49">
        <f t="shared" si="2"/>
        <v>0.3</v>
      </c>
      <c r="Q28" s="50">
        <f t="shared" si="3"/>
        <v>0.3</v>
      </c>
      <c r="R28" s="50">
        <f t="shared" si="4"/>
        <v>0.37500000000000006</v>
      </c>
      <c r="S28" s="46">
        <f t="shared" si="5"/>
        <v>3</v>
      </c>
      <c r="T28" s="46">
        <f t="shared" si="6"/>
        <v>0.37500000000000006</v>
      </c>
      <c r="U28" s="46">
        <f t="shared" si="7"/>
        <v>1.1249999999999998</v>
      </c>
      <c r="V28" s="46">
        <f t="shared" si="8"/>
        <v>0.75000000000000011</v>
      </c>
      <c r="W28" s="46">
        <f t="shared" si="9"/>
        <v>0.22499999999999998</v>
      </c>
      <c r="X28" s="46">
        <f t="shared" si="10"/>
        <v>0.22499999999999998</v>
      </c>
      <c r="Y28" s="46">
        <f t="shared" si="11"/>
        <v>0.75000000000000011</v>
      </c>
      <c r="Z28" s="46">
        <f t="shared" si="12"/>
        <v>7.4999999999999997E-2</v>
      </c>
      <c r="AA28" s="67">
        <f t="shared" si="1"/>
        <v>7.5</v>
      </c>
      <c r="AB28" s="68">
        <f t="shared" si="13"/>
        <v>264</v>
      </c>
    </row>
    <row r="29" spans="2:28" ht="52.5">
      <c r="B29" s="40">
        <f t="shared" si="14"/>
        <v>15</v>
      </c>
      <c r="C29" s="41" t="s">
        <v>68</v>
      </c>
      <c r="D29" s="73" t="s">
        <v>63</v>
      </c>
      <c r="E29" s="42"/>
      <c r="F29" s="42"/>
      <c r="G29" s="43" t="s">
        <v>39</v>
      </c>
      <c r="H29" s="43"/>
      <c r="I29" s="43" t="s">
        <v>48</v>
      </c>
      <c r="J29" s="43"/>
      <c r="K29" s="44"/>
      <c r="L29" s="45"/>
      <c r="M29" s="46">
        <v>2.5</v>
      </c>
      <c r="N29" s="47"/>
      <c r="O29" s="48" t="s">
        <v>42</v>
      </c>
      <c r="P29" s="49">
        <f t="shared" si="2"/>
        <v>0.25</v>
      </c>
      <c r="Q29" s="50">
        <f t="shared" si="3"/>
        <v>0.25</v>
      </c>
      <c r="R29" s="50">
        <f t="shared" si="4"/>
        <v>0.3125</v>
      </c>
      <c r="S29" s="46">
        <f t="shared" si="5"/>
        <v>2.5</v>
      </c>
      <c r="T29" s="46">
        <f t="shared" si="6"/>
        <v>0.3125</v>
      </c>
      <c r="U29" s="46">
        <f t="shared" si="7"/>
        <v>0.9375</v>
      </c>
      <c r="V29" s="46">
        <f t="shared" si="8"/>
        <v>0.625</v>
      </c>
      <c r="W29" s="46">
        <f t="shared" si="9"/>
        <v>0.18749999999999997</v>
      </c>
      <c r="X29" s="46">
        <f t="shared" si="10"/>
        <v>0.18749999999999997</v>
      </c>
      <c r="Y29" s="46">
        <f t="shared" si="11"/>
        <v>0.625</v>
      </c>
      <c r="Z29" s="46">
        <f t="shared" si="12"/>
        <v>6.25E-2</v>
      </c>
      <c r="AA29" s="67">
        <f t="shared" si="1"/>
        <v>6.25</v>
      </c>
      <c r="AB29" s="68">
        <f t="shared" si="13"/>
        <v>220</v>
      </c>
    </row>
    <row r="30" spans="2:28" ht="52.5">
      <c r="B30" s="40">
        <f t="shared" si="14"/>
        <v>16</v>
      </c>
      <c r="C30" s="41" t="s">
        <v>68</v>
      </c>
      <c r="D30" s="73" t="s">
        <v>64</v>
      </c>
      <c r="E30" s="42"/>
      <c r="F30" s="42"/>
      <c r="G30" s="43" t="s">
        <v>39</v>
      </c>
      <c r="H30" s="43"/>
      <c r="I30" s="43" t="s">
        <v>48</v>
      </c>
      <c r="J30" s="43"/>
      <c r="K30" s="44"/>
      <c r="L30" s="45"/>
      <c r="M30" s="46">
        <v>2.5</v>
      </c>
      <c r="N30" s="47"/>
      <c r="O30" s="48" t="s">
        <v>42</v>
      </c>
      <c r="P30" s="49">
        <f t="shared" si="2"/>
        <v>0.25</v>
      </c>
      <c r="Q30" s="50">
        <f t="shared" si="3"/>
        <v>0.25</v>
      </c>
      <c r="R30" s="50">
        <f t="shared" si="4"/>
        <v>0.3125</v>
      </c>
      <c r="S30" s="46">
        <f t="shared" si="5"/>
        <v>2.5</v>
      </c>
      <c r="T30" s="46">
        <f t="shared" si="6"/>
        <v>0.3125</v>
      </c>
      <c r="U30" s="46">
        <f t="shared" si="7"/>
        <v>0.9375</v>
      </c>
      <c r="V30" s="46">
        <f t="shared" si="8"/>
        <v>0.625</v>
      </c>
      <c r="W30" s="46">
        <f t="shared" si="9"/>
        <v>0.18749999999999997</v>
      </c>
      <c r="X30" s="46">
        <f t="shared" si="10"/>
        <v>0.18749999999999997</v>
      </c>
      <c r="Y30" s="46">
        <f t="shared" si="11"/>
        <v>0.625</v>
      </c>
      <c r="Z30" s="46">
        <f t="shared" si="12"/>
        <v>6.25E-2</v>
      </c>
      <c r="AA30" s="67">
        <f t="shared" si="1"/>
        <v>6.25</v>
      </c>
      <c r="AB30" s="68">
        <f t="shared" si="13"/>
        <v>220</v>
      </c>
    </row>
    <row r="31" spans="2:28" ht="73.5">
      <c r="B31" s="40">
        <f t="shared" si="14"/>
        <v>17</v>
      </c>
      <c r="C31" s="41" t="s">
        <v>68</v>
      </c>
      <c r="D31" s="73" t="s">
        <v>65</v>
      </c>
      <c r="E31" s="42"/>
      <c r="F31" s="42"/>
      <c r="G31" s="43" t="s">
        <v>39</v>
      </c>
      <c r="H31" s="43"/>
      <c r="I31" s="43" t="s">
        <v>48</v>
      </c>
      <c r="J31" s="43"/>
      <c r="K31" s="44"/>
      <c r="L31" s="45"/>
      <c r="M31" s="46">
        <v>4</v>
      </c>
      <c r="N31" s="47"/>
      <c r="O31" s="48" t="s">
        <v>40</v>
      </c>
      <c r="P31" s="49">
        <f t="shared" si="2"/>
        <v>0.39999999999999997</v>
      </c>
      <c r="Q31" s="50">
        <f t="shared" si="3"/>
        <v>0.39999999999999997</v>
      </c>
      <c r="R31" s="50">
        <f t="shared" si="4"/>
        <v>0.5</v>
      </c>
      <c r="S31" s="46">
        <f t="shared" si="5"/>
        <v>4</v>
      </c>
      <c r="T31" s="46">
        <f t="shared" si="6"/>
        <v>0.5</v>
      </c>
      <c r="U31" s="46">
        <f t="shared" si="7"/>
        <v>1.4999999999999998</v>
      </c>
      <c r="V31" s="46">
        <f t="shared" si="8"/>
        <v>1</v>
      </c>
      <c r="W31" s="46">
        <f t="shared" si="9"/>
        <v>0.3</v>
      </c>
      <c r="X31" s="46">
        <f t="shared" si="10"/>
        <v>0.3</v>
      </c>
      <c r="Y31" s="46">
        <f t="shared" si="11"/>
        <v>1</v>
      </c>
      <c r="Z31" s="46">
        <f t="shared" si="12"/>
        <v>9.9999999999999992E-2</v>
      </c>
      <c r="AA31" s="67">
        <f t="shared" si="1"/>
        <v>10.000000000000002</v>
      </c>
      <c r="AB31" s="68">
        <f t="shared" si="13"/>
        <v>352</v>
      </c>
    </row>
    <row r="32" spans="2:28" ht="63">
      <c r="B32" s="40">
        <f t="shared" si="14"/>
        <v>18</v>
      </c>
      <c r="C32" s="41" t="s">
        <v>68</v>
      </c>
      <c r="D32" s="73" t="s">
        <v>66</v>
      </c>
      <c r="E32" s="42"/>
      <c r="F32" s="42"/>
      <c r="G32" s="43" t="s">
        <v>39</v>
      </c>
      <c r="H32" s="43"/>
      <c r="I32" s="43" t="s">
        <v>48</v>
      </c>
      <c r="J32" s="43"/>
      <c r="K32" s="44"/>
      <c r="L32" s="45"/>
      <c r="M32" s="46">
        <v>3</v>
      </c>
      <c r="N32" s="47"/>
      <c r="O32" s="48" t="s">
        <v>42</v>
      </c>
      <c r="P32" s="49">
        <f t="shared" si="2"/>
        <v>0.3</v>
      </c>
      <c r="Q32" s="50">
        <f t="shared" si="3"/>
        <v>0.3</v>
      </c>
      <c r="R32" s="50">
        <f t="shared" si="4"/>
        <v>0.37500000000000006</v>
      </c>
      <c r="S32" s="46">
        <f t="shared" si="5"/>
        <v>3</v>
      </c>
      <c r="T32" s="46">
        <f t="shared" si="6"/>
        <v>0.37500000000000006</v>
      </c>
      <c r="U32" s="46">
        <f t="shared" si="7"/>
        <v>1.1249999999999998</v>
      </c>
      <c r="V32" s="46">
        <f t="shared" si="8"/>
        <v>0.75000000000000011</v>
      </c>
      <c r="W32" s="46">
        <f t="shared" si="9"/>
        <v>0.22499999999999998</v>
      </c>
      <c r="X32" s="46">
        <f t="shared" si="10"/>
        <v>0.22499999999999998</v>
      </c>
      <c r="Y32" s="46">
        <f t="shared" si="11"/>
        <v>0.75000000000000011</v>
      </c>
      <c r="Z32" s="46">
        <f t="shared" si="12"/>
        <v>7.4999999999999997E-2</v>
      </c>
      <c r="AA32" s="67">
        <f t="shared" si="1"/>
        <v>7.5</v>
      </c>
      <c r="AB32" s="68">
        <f t="shared" si="13"/>
        <v>264</v>
      </c>
    </row>
    <row r="33" spans="2:28" ht="31.5">
      <c r="B33" s="40">
        <f t="shared" si="14"/>
        <v>19</v>
      </c>
      <c r="C33" s="41" t="s">
        <v>68</v>
      </c>
      <c r="D33" s="73" t="s">
        <v>67</v>
      </c>
      <c r="E33" s="42"/>
      <c r="F33" s="42"/>
      <c r="G33" s="43" t="s">
        <v>39</v>
      </c>
      <c r="H33" s="43"/>
      <c r="I33" s="43" t="s">
        <v>48</v>
      </c>
      <c r="J33" s="43"/>
      <c r="K33" s="44"/>
      <c r="L33" s="45"/>
      <c r="M33" s="46">
        <v>2</v>
      </c>
      <c r="N33" s="47"/>
      <c r="O33" s="48" t="s">
        <v>42</v>
      </c>
      <c r="P33" s="49">
        <f t="shared" si="2"/>
        <v>0.19999999999999998</v>
      </c>
      <c r="Q33" s="50">
        <f t="shared" si="3"/>
        <v>0.19999999999999998</v>
      </c>
      <c r="R33" s="50">
        <f t="shared" si="4"/>
        <v>0.25</v>
      </c>
      <c r="S33" s="46">
        <f t="shared" si="5"/>
        <v>2</v>
      </c>
      <c r="T33" s="46">
        <f t="shared" si="6"/>
        <v>0.25</v>
      </c>
      <c r="U33" s="46">
        <f t="shared" si="7"/>
        <v>0.74999999999999989</v>
      </c>
      <c r="V33" s="46">
        <f t="shared" si="8"/>
        <v>0.5</v>
      </c>
      <c r="W33" s="46">
        <f t="shared" si="9"/>
        <v>0.15</v>
      </c>
      <c r="X33" s="46">
        <f t="shared" si="10"/>
        <v>0.15</v>
      </c>
      <c r="Y33" s="46">
        <f t="shared" si="11"/>
        <v>0.5</v>
      </c>
      <c r="Z33" s="46">
        <f t="shared" si="12"/>
        <v>4.9999999999999996E-2</v>
      </c>
      <c r="AA33" s="67">
        <f t="shared" si="1"/>
        <v>5.0000000000000009</v>
      </c>
      <c r="AB33" s="68">
        <f t="shared" si="13"/>
        <v>176</v>
      </c>
    </row>
    <row r="34" spans="2:28" ht="31.5">
      <c r="B34" s="40">
        <f t="shared" si="14"/>
        <v>20</v>
      </c>
      <c r="C34" s="41" t="s">
        <v>68</v>
      </c>
      <c r="D34" s="42" t="s">
        <v>47</v>
      </c>
      <c r="E34" s="42"/>
      <c r="F34" s="42"/>
      <c r="G34" s="43" t="s">
        <v>39</v>
      </c>
      <c r="H34" s="43"/>
      <c r="I34" s="43" t="s">
        <v>48</v>
      </c>
      <c r="J34" s="43"/>
      <c r="K34" s="44"/>
      <c r="L34" s="45"/>
      <c r="M34" s="46">
        <v>6</v>
      </c>
      <c r="N34" s="47"/>
      <c r="O34" s="48" t="s">
        <v>40</v>
      </c>
      <c r="P34" s="49">
        <f t="shared" si="2"/>
        <v>0.6</v>
      </c>
      <c r="Q34" s="50">
        <f t="shared" si="3"/>
        <v>0.6</v>
      </c>
      <c r="R34" s="50">
        <f t="shared" si="4"/>
        <v>0.75000000000000011</v>
      </c>
      <c r="S34" s="46">
        <f t="shared" si="5"/>
        <v>6</v>
      </c>
      <c r="T34" s="46">
        <f t="shared" si="6"/>
        <v>0.75000000000000011</v>
      </c>
      <c r="U34" s="46">
        <f t="shared" si="7"/>
        <v>2.2499999999999996</v>
      </c>
      <c r="V34" s="46">
        <f t="shared" si="8"/>
        <v>1.5000000000000002</v>
      </c>
      <c r="W34" s="46">
        <f t="shared" si="9"/>
        <v>0.44999999999999996</v>
      </c>
      <c r="X34" s="46">
        <f t="shared" si="10"/>
        <v>0.44999999999999996</v>
      </c>
      <c r="Y34" s="46">
        <f t="shared" si="11"/>
        <v>1.5000000000000002</v>
      </c>
      <c r="Z34" s="46">
        <f t="shared" si="12"/>
        <v>0.15</v>
      </c>
      <c r="AA34" s="67">
        <f t="shared" si="1"/>
        <v>15</v>
      </c>
      <c r="AB34" s="68">
        <f t="shared" si="13"/>
        <v>528</v>
      </c>
    </row>
    <row r="35" spans="2:28" ht="21">
      <c r="B35" s="40">
        <f t="shared" si="14"/>
        <v>21</v>
      </c>
      <c r="C35" s="41" t="s">
        <v>44</v>
      </c>
      <c r="D35" s="42" t="s">
        <v>79</v>
      </c>
      <c r="E35" s="42"/>
      <c r="F35" s="42"/>
      <c r="G35" s="43" t="s">
        <v>39</v>
      </c>
      <c r="H35" s="43"/>
      <c r="I35" s="43" t="s">
        <v>46</v>
      </c>
      <c r="J35" s="43"/>
      <c r="K35" s="44"/>
      <c r="L35" s="45"/>
      <c r="M35" s="46">
        <v>4</v>
      </c>
      <c r="N35" s="47"/>
      <c r="O35" s="48" t="s">
        <v>40</v>
      </c>
      <c r="P35" s="49">
        <f t="shared" si="2"/>
        <v>0.39999999999999997</v>
      </c>
      <c r="Q35" s="50">
        <f t="shared" si="3"/>
        <v>0.39999999999999997</v>
      </c>
      <c r="R35" s="50">
        <f t="shared" si="4"/>
        <v>0.5</v>
      </c>
      <c r="S35" s="46">
        <f t="shared" si="5"/>
        <v>4</v>
      </c>
      <c r="T35" s="46">
        <f t="shared" si="6"/>
        <v>0.5</v>
      </c>
      <c r="U35" s="46">
        <f t="shared" si="7"/>
        <v>1.4999999999999998</v>
      </c>
      <c r="V35" s="46">
        <f t="shared" si="8"/>
        <v>1</v>
      </c>
      <c r="W35" s="46">
        <f t="shared" si="9"/>
        <v>0.3</v>
      </c>
      <c r="X35" s="46">
        <f t="shared" si="10"/>
        <v>0.3</v>
      </c>
      <c r="Y35" s="46">
        <f t="shared" si="11"/>
        <v>1</v>
      </c>
      <c r="Z35" s="46">
        <f t="shared" si="12"/>
        <v>9.9999999999999992E-2</v>
      </c>
      <c r="AA35" s="67">
        <f t="shared" si="1"/>
        <v>10.000000000000002</v>
      </c>
      <c r="AB35" s="68">
        <f t="shared" si="13"/>
        <v>352</v>
      </c>
    </row>
    <row r="36" spans="2:28" ht="21">
      <c r="B36" s="40">
        <f t="shared" si="14"/>
        <v>22</v>
      </c>
      <c r="C36" s="41" t="s">
        <v>44</v>
      </c>
      <c r="D36" s="42" t="s">
        <v>80</v>
      </c>
      <c r="E36" s="42"/>
      <c r="F36" s="42"/>
      <c r="G36" s="43" t="s">
        <v>39</v>
      </c>
      <c r="H36" s="43"/>
      <c r="I36" s="43" t="s">
        <v>46</v>
      </c>
      <c r="J36" s="43"/>
      <c r="K36" s="44"/>
      <c r="L36" s="45"/>
      <c r="M36" s="46">
        <v>4</v>
      </c>
      <c r="N36" s="47"/>
      <c r="O36" s="48" t="s">
        <v>40</v>
      </c>
      <c r="P36" s="49">
        <f t="shared" si="2"/>
        <v>0.39999999999999997</v>
      </c>
      <c r="Q36" s="50">
        <f t="shared" si="3"/>
        <v>0.39999999999999997</v>
      </c>
      <c r="R36" s="50">
        <f t="shared" si="4"/>
        <v>0.5</v>
      </c>
      <c r="S36" s="46">
        <f t="shared" si="5"/>
        <v>4</v>
      </c>
      <c r="T36" s="46">
        <f t="shared" si="6"/>
        <v>0.5</v>
      </c>
      <c r="U36" s="46">
        <f t="shared" si="7"/>
        <v>1.4999999999999998</v>
      </c>
      <c r="V36" s="46">
        <f t="shared" si="8"/>
        <v>1</v>
      </c>
      <c r="W36" s="46">
        <f t="shared" si="9"/>
        <v>0.3</v>
      </c>
      <c r="X36" s="46">
        <f t="shared" si="10"/>
        <v>0.3</v>
      </c>
      <c r="Y36" s="46">
        <f t="shared" si="11"/>
        <v>1</v>
      </c>
      <c r="Z36" s="46">
        <f t="shared" si="12"/>
        <v>9.9999999999999992E-2</v>
      </c>
      <c r="AA36" s="67">
        <f t="shared" si="1"/>
        <v>10.000000000000002</v>
      </c>
      <c r="AB36" s="68">
        <f t="shared" si="13"/>
        <v>352</v>
      </c>
    </row>
    <row r="37" spans="2:28" ht="31.5">
      <c r="B37" s="40">
        <f t="shared" si="14"/>
        <v>23</v>
      </c>
      <c r="C37" s="41" t="s">
        <v>44</v>
      </c>
      <c r="D37" s="42" t="s">
        <v>81</v>
      </c>
      <c r="E37" s="42"/>
      <c r="F37" s="42"/>
      <c r="G37" s="43" t="s">
        <v>39</v>
      </c>
      <c r="H37" s="43"/>
      <c r="I37" s="43" t="s">
        <v>46</v>
      </c>
      <c r="J37" s="43"/>
      <c r="K37" s="44"/>
      <c r="L37" s="45"/>
      <c r="M37" s="46">
        <v>5</v>
      </c>
      <c r="N37" s="51"/>
      <c r="O37" s="52" t="s">
        <v>40</v>
      </c>
      <c r="P37" s="49">
        <f t="shared" si="2"/>
        <v>0.5</v>
      </c>
      <c r="Q37" s="50">
        <f t="shared" si="3"/>
        <v>0.5</v>
      </c>
      <c r="R37" s="50">
        <f t="shared" si="4"/>
        <v>0.625</v>
      </c>
      <c r="S37" s="46">
        <f t="shared" si="5"/>
        <v>5</v>
      </c>
      <c r="T37" s="46">
        <f t="shared" si="6"/>
        <v>0.625</v>
      </c>
      <c r="U37" s="46">
        <f t="shared" si="7"/>
        <v>1.875</v>
      </c>
      <c r="V37" s="46">
        <f t="shared" si="8"/>
        <v>1.25</v>
      </c>
      <c r="W37" s="46">
        <f t="shared" si="9"/>
        <v>0.37499999999999994</v>
      </c>
      <c r="X37" s="46">
        <f t="shared" si="10"/>
        <v>0.37499999999999994</v>
      </c>
      <c r="Y37" s="46">
        <f t="shared" si="11"/>
        <v>1.25</v>
      </c>
      <c r="Z37" s="46">
        <f t="shared" si="12"/>
        <v>0.125</v>
      </c>
      <c r="AA37" s="67">
        <f t="shared" si="1"/>
        <v>12.5</v>
      </c>
      <c r="AB37" s="68">
        <f t="shared" si="13"/>
        <v>440</v>
      </c>
    </row>
    <row r="38" spans="2:28" ht="31.5">
      <c r="B38" s="40">
        <f t="shared" si="14"/>
        <v>24</v>
      </c>
      <c r="C38" s="41" t="s">
        <v>44</v>
      </c>
      <c r="D38" s="42" t="s">
        <v>82</v>
      </c>
      <c r="E38" s="42"/>
      <c r="F38" s="42"/>
      <c r="G38" s="43" t="s">
        <v>39</v>
      </c>
      <c r="H38" s="43"/>
      <c r="I38" s="43" t="s">
        <v>46</v>
      </c>
      <c r="J38" s="43"/>
      <c r="K38" s="44"/>
      <c r="L38" s="45"/>
      <c r="M38" s="46">
        <v>6</v>
      </c>
      <c r="N38" s="51"/>
      <c r="O38" s="52" t="s">
        <v>40</v>
      </c>
      <c r="P38" s="49">
        <f t="shared" si="2"/>
        <v>0.6</v>
      </c>
      <c r="Q38" s="50">
        <f t="shared" si="3"/>
        <v>0.6</v>
      </c>
      <c r="R38" s="50">
        <f t="shared" si="4"/>
        <v>0.75000000000000011</v>
      </c>
      <c r="S38" s="46">
        <f t="shared" si="5"/>
        <v>6</v>
      </c>
      <c r="T38" s="46">
        <f t="shared" si="6"/>
        <v>0.75000000000000011</v>
      </c>
      <c r="U38" s="46">
        <f t="shared" si="7"/>
        <v>2.2499999999999996</v>
      </c>
      <c r="V38" s="46">
        <f t="shared" si="8"/>
        <v>1.5000000000000002</v>
      </c>
      <c r="W38" s="46">
        <f t="shared" si="9"/>
        <v>0.44999999999999996</v>
      </c>
      <c r="X38" s="46">
        <f t="shared" si="10"/>
        <v>0.44999999999999996</v>
      </c>
      <c r="Y38" s="46">
        <f t="shared" si="11"/>
        <v>1.5000000000000002</v>
      </c>
      <c r="Z38" s="46">
        <f t="shared" si="12"/>
        <v>0.15</v>
      </c>
      <c r="AA38" s="67">
        <f t="shared" si="1"/>
        <v>15</v>
      </c>
      <c r="AB38" s="68">
        <f t="shared" si="13"/>
        <v>528</v>
      </c>
    </row>
    <row r="39" spans="2:28" ht="21">
      <c r="B39" s="40">
        <f t="shared" si="14"/>
        <v>25</v>
      </c>
      <c r="C39" s="41" t="s">
        <v>44</v>
      </c>
      <c r="D39" s="42" t="s">
        <v>83</v>
      </c>
      <c r="E39" s="42"/>
      <c r="F39" s="42"/>
      <c r="G39" s="43" t="s">
        <v>39</v>
      </c>
      <c r="H39" s="43"/>
      <c r="I39" s="43" t="s">
        <v>46</v>
      </c>
      <c r="J39" s="43"/>
      <c r="K39" s="44"/>
      <c r="L39" s="45"/>
      <c r="M39" s="46">
        <v>4</v>
      </c>
      <c r="N39" s="47"/>
      <c r="O39" s="48" t="s">
        <v>40</v>
      </c>
      <c r="P39" s="49">
        <f t="shared" si="2"/>
        <v>0.39999999999999997</v>
      </c>
      <c r="Q39" s="50">
        <f t="shared" si="3"/>
        <v>0.39999999999999997</v>
      </c>
      <c r="R39" s="50">
        <f t="shared" si="4"/>
        <v>0.5</v>
      </c>
      <c r="S39" s="46">
        <f t="shared" si="5"/>
        <v>4</v>
      </c>
      <c r="T39" s="46">
        <f t="shared" si="6"/>
        <v>0.5</v>
      </c>
      <c r="U39" s="46">
        <f t="shared" si="7"/>
        <v>1.4999999999999998</v>
      </c>
      <c r="V39" s="46">
        <f t="shared" si="8"/>
        <v>1</v>
      </c>
      <c r="W39" s="46">
        <f t="shared" si="9"/>
        <v>0.3</v>
      </c>
      <c r="X39" s="46">
        <f t="shared" si="10"/>
        <v>0.3</v>
      </c>
      <c r="Y39" s="46">
        <f t="shared" si="11"/>
        <v>1</v>
      </c>
      <c r="Z39" s="46">
        <f t="shared" si="12"/>
        <v>9.9999999999999992E-2</v>
      </c>
      <c r="AA39" s="67">
        <f t="shared" si="1"/>
        <v>10.000000000000002</v>
      </c>
      <c r="AB39" s="68">
        <f t="shared" si="13"/>
        <v>352</v>
      </c>
    </row>
    <row r="40" spans="2:28" ht="31.5">
      <c r="B40" s="40">
        <f t="shared" si="14"/>
        <v>26</v>
      </c>
      <c r="C40" s="41" t="s">
        <v>44</v>
      </c>
      <c r="D40" s="42" t="s">
        <v>84</v>
      </c>
      <c r="E40" s="42"/>
      <c r="F40" s="42"/>
      <c r="G40" s="43" t="s">
        <v>39</v>
      </c>
      <c r="H40" s="43"/>
      <c r="I40" s="43" t="s">
        <v>46</v>
      </c>
      <c r="J40" s="43"/>
      <c r="K40" s="44"/>
      <c r="L40" s="45"/>
      <c r="M40" s="46">
        <v>3</v>
      </c>
      <c r="N40" s="51"/>
      <c r="O40" s="52" t="s">
        <v>42</v>
      </c>
      <c r="P40" s="49">
        <f t="shared" si="2"/>
        <v>0.3</v>
      </c>
      <c r="Q40" s="50">
        <f t="shared" si="3"/>
        <v>0.3</v>
      </c>
      <c r="R40" s="50">
        <f t="shared" si="4"/>
        <v>0.37500000000000006</v>
      </c>
      <c r="S40" s="46">
        <f t="shared" si="5"/>
        <v>3</v>
      </c>
      <c r="T40" s="46">
        <f t="shared" si="6"/>
        <v>0.37500000000000006</v>
      </c>
      <c r="U40" s="46">
        <f t="shared" si="7"/>
        <v>1.1249999999999998</v>
      </c>
      <c r="V40" s="46">
        <f t="shared" si="8"/>
        <v>0.75000000000000011</v>
      </c>
      <c r="W40" s="46">
        <f t="shared" si="9"/>
        <v>0.22499999999999998</v>
      </c>
      <c r="X40" s="46">
        <f t="shared" si="10"/>
        <v>0.22499999999999998</v>
      </c>
      <c r="Y40" s="46">
        <f t="shared" si="11"/>
        <v>0.75000000000000011</v>
      </c>
      <c r="Z40" s="46">
        <f t="shared" si="12"/>
        <v>7.4999999999999997E-2</v>
      </c>
      <c r="AA40" s="67">
        <f t="shared" si="1"/>
        <v>7.5</v>
      </c>
      <c r="AB40" s="68">
        <f t="shared" si="13"/>
        <v>264</v>
      </c>
    </row>
    <row r="41" spans="2:28" ht="21">
      <c r="B41" s="40">
        <f t="shared" si="14"/>
        <v>27</v>
      </c>
      <c r="C41" s="41" t="s">
        <v>44</v>
      </c>
      <c r="D41" s="42" t="s">
        <v>85</v>
      </c>
      <c r="E41" s="42"/>
      <c r="F41" s="42"/>
      <c r="G41" s="43" t="s">
        <v>39</v>
      </c>
      <c r="H41" s="43"/>
      <c r="I41" s="43" t="s">
        <v>46</v>
      </c>
      <c r="J41" s="43"/>
      <c r="K41" s="44"/>
      <c r="L41" s="45"/>
      <c r="M41" s="46">
        <v>3</v>
      </c>
      <c r="N41" s="51"/>
      <c r="O41" s="52" t="s">
        <v>42</v>
      </c>
      <c r="P41" s="49">
        <f t="shared" si="2"/>
        <v>0.3</v>
      </c>
      <c r="Q41" s="50">
        <f t="shared" si="3"/>
        <v>0.3</v>
      </c>
      <c r="R41" s="50">
        <f t="shared" si="4"/>
        <v>0.37500000000000006</v>
      </c>
      <c r="S41" s="46">
        <f t="shared" si="5"/>
        <v>3</v>
      </c>
      <c r="T41" s="46">
        <f t="shared" si="6"/>
        <v>0.37500000000000006</v>
      </c>
      <c r="U41" s="46">
        <f t="shared" si="7"/>
        <v>1.1249999999999998</v>
      </c>
      <c r="V41" s="46">
        <f t="shared" si="8"/>
        <v>0.75000000000000011</v>
      </c>
      <c r="W41" s="46">
        <f t="shared" si="9"/>
        <v>0.22499999999999998</v>
      </c>
      <c r="X41" s="46">
        <f t="shared" si="10"/>
        <v>0.22499999999999998</v>
      </c>
      <c r="Y41" s="46">
        <f t="shared" si="11"/>
        <v>0.75000000000000011</v>
      </c>
      <c r="Z41" s="46">
        <f t="shared" si="12"/>
        <v>7.4999999999999997E-2</v>
      </c>
      <c r="AA41" s="67">
        <f t="shared" si="1"/>
        <v>7.5</v>
      </c>
      <c r="AB41" s="68">
        <f t="shared" si="13"/>
        <v>264</v>
      </c>
    </row>
    <row r="42" spans="2:28" ht="31.5">
      <c r="B42" s="40">
        <f t="shared" si="14"/>
        <v>28</v>
      </c>
      <c r="C42" s="41" t="s">
        <v>44</v>
      </c>
      <c r="D42" s="42" t="s">
        <v>86</v>
      </c>
      <c r="E42" s="42"/>
      <c r="F42" s="42"/>
      <c r="G42" s="43" t="s">
        <v>39</v>
      </c>
      <c r="H42" s="43"/>
      <c r="I42" s="43" t="s">
        <v>46</v>
      </c>
      <c r="J42" s="43"/>
      <c r="K42" s="44"/>
      <c r="L42" s="45"/>
      <c r="M42" s="46">
        <v>4</v>
      </c>
      <c r="N42" s="47"/>
      <c r="O42" s="48" t="s">
        <v>40</v>
      </c>
      <c r="P42" s="49">
        <f t="shared" si="2"/>
        <v>0.39999999999999997</v>
      </c>
      <c r="Q42" s="50">
        <f t="shared" si="3"/>
        <v>0.39999999999999997</v>
      </c>
      <c r="R42" s="50">
        <f t="shared" si="4"/>
        <v>0.5</v>
      </c>
      <c r="S42" s="46">
        <f t="shared" si="5"/>
        <v>4</v>
      </c>
      <c r="T42" s="46">
        <f t="shared" si="6"/>
        <v>0.5</v>
      </c>
      <c r="U42" s="46">
        <f t="shared" si="7"/>
        <v>1.4999999999999998</v>
      </c>
      <c r="V42" s="46">
        <f t="shared" si="8"/>
        <v>1</v>
      </c>
      <c r="W42" s="46">
        <f t="shared" si="9"/>
        <v>0.3</v>
      </c>
      <c r="X42" s="46">
        <f t="shared" si="10"/>
        <v>0.3</v>
      </c>
      <c r="Y42" s="46">
        <f t="shared" si="11"/>
        <v>1</v>
      </c>
      <c r="Z42" s="46">
        <f t="shared" si="12"/>
        <v>9.9999999999999992E-2</v>
      </c>
      <c r="AA42" s="67">
        <f t="shared" si="1"/>
        <v>10.000000000000002</v>
      </c>
      <c r="AB42" s="68">
        <f t="shared" si="13"/>
        <v>352</v>
      </c>
    </row>
    <row r="43" spans="2:28" ht="31.5">
      <c r="B43" s="40">
        <f t="shared" si="14"/>
        <v>29</v>
      </c>
      <c r="C43" s="41" t="s">
        <v>44</v>
      </c>
      <c r="D43" s="42" t="s">
        <v>87</v>
      </c>
      <c r="E43" s="42"/>
      <c r="F43" s="42"/>
      <c r="G43" s="43" t="s">
        <v>39</v>
      </c>
      <c r="H43" s="43"/>
      <c r="I43" s="43" t="s">
        <v>46</v>
      </c>
      <c r="J43" s="43"/>
      <c r="K43" s="44"/>
      <c r="L43" s="45"/>
      <c r="M43" s="46">
        <v>5</v>
      </c>
      <c r="N43" s="51"/>
      <c r="O43" s="52" t="s">
        <v>40</v>
      </c>
      <c r="P43" s="49">
        <f t="shared" si="2"/>
        <v>0.5</v>
      </c>
      <c r="Q43" s="50">
        <f t="shared" si="3"/>
        <v>0.5</v>
      </c>
      <c r="R43" s="50">
        <f t="shared" si="4"/>
        <v>0.625</v>
      </c>
      <c r="S43" s="46">
        <f t="shared" si="5"/>
        <v>5</v>
      </c>
      <c r="T43" s="46">
        <f t="shared" si="6"/>
        <v>0.625</v>
      </c>
      <c r="U43" s="46">
        <f t="shared" si="7"/>
        <v>1.875</v>
      </c>
      <c r="V43" s="46">
        <f t="shared" si="8"/>
        <v>1.25</v>
      </c>
      <c r="W43" s="46">
        <f t="shared" si="9"/>
        <v>0.37499999999999994</v>
      </c>
      <c r="X43" s="46">
        <f t="shared" si="10"/>
        <v>0.37499999999999994</v>
      </c>
      <c r="Y43" s="46">
        <f t="shared" si="11"/>
        <v>1.25</v>
      </c>
      <c r="Z43" s="46">
        <f t="shared" si="12"/>
        <v>0.125</v>
      </c>
      <c r="AA43" s="67">
        <f t="shared" si="1"/>
        <v>12.5</v>
      </c>
      <c r="AB43" s="68">
        <f t="shared" si="13"/>
        <v>440</v>
      </c>
    </row>
    <row r="44" spans="2:28" ht="31.5">
      <c r="B44" s="40">
        <f t="shared" si="14"/>
        <v>30</v>
      </c>
      <c r="C44" s="41" t="s">
        <v>44</v>
      </c>
      <c r="D44" s="42" t="s">
        <v>88</v>
      </c>
      <c r="E44" s="42"/>
      <c r="F44" s="42"/>
      <c r="G44" s="43" t="s">
        <v>39</v>
      </c>
      <c r="H44" s="43"/>
      <c r="I44" s="43" t="s">
        <v>46</v>
      </c>
      <c r="J44" s="43"/>
      <c r="K44" s="44"/>
      <c r="L44" s="45"/>
      <c r="M44" s="46">
        <v>3</v>
      </c>
      <c r="N44" s="51"/>
      <c r="O44" s="52" t="s">
        <v>42</v>
      </c>
      <c r="P44" s="49">
        <f t="shared" si="2"/>
        <v>0.3</v>
      </c>
      <c r="Q44" s="50">
        <f t="shared" si="3"/>
        <v>0.3</v>
      </c>
      <c r="R44" s="50">
        <f t="shared" si="4"/>
        <v>0.37500000000000006</v>
      </c>
      <c r="S44" s="46">
        <f t="shared" si="5"/>
        <v>3</v>
      </c>
      <c r="T44" s="46">
        <f t="shared" si="6"/>
        <v>0.37500000000000006</v>
      </c>
      <c r="U44" s="46">
        <f t="shared" si="7"/>
        <v>1.1249999999999998</v>
      </c>
      <c r="V44" s="46">
        <f t="shared" si="8"/>
        <v>0.75000000000000011</v>
      </c>
      <c r="W44" s="46">
        <f t="shared" si="9"/>
        <v>0.22499999999999998</v>
      </c>
      <c r="X44" s="46">
        <f t="shared" si="10"/>
        <v>0.22499999999999998</v>
      </c>
      <c r="Y44" s="46">
        <f t="shared" si="11"/>
        <v>0.75000000000000011</v>
      </c>
      <c r="Z44" s="46">
        <f t="shared" si="12"/>
        <v>7.4999999999999997E-2</v>
      </c>
      <c r="AA44" s="67">
        <f t="shared" si="1"/>
        <v>7.5</v>
      </c>
      <c r="AB44" s="68">
        <f t="shared" si="13"/>
        <v>264</v>
      </c>
    </row>
    <row r="45" spans="2:28" ht="52.5">
      <c r="B45" s="40">
        <f t="shared" si="14"/>
        <v>31</v>
      </c>
      <c r="C45" s="41" t="s">
        <v>44</v>
      </c>
      <c r="D45" s="42" t="s">
        <v>56</v>
      </c>
      <c r="E45" s="42"/>
      <c r="F45" s="42"/>
      <c r="G45" s="43" t="s">
        <v>39</v>
      </c>
      <c r="H45" s="43"/>
      <c r="I45" s="43" t="s">
        <v>46</v>
      </c>
      <c r="J45" s="43"/>
      <c r="K45" s="44"/>
      <c r="L45" s="45"/>
      <c r="M45" s="46">
        <v>4</v>
      </c>
      <c r="N45" s="47"/>
      <c r="O45" s="48" t="s">
        <v>40</v>
      </c>
      <c r="P45" s="49">
        <f t="shared" si="2"/>
        <v>0.39999999999999997</v>
      </c>
      <c r="Q45" s="50">
        <f t="shared" si="3"/>
        <v>0.39999999999999997</v>
      </c>
      <c r="R45" s="50">
        <f t="shared" si="4"/>
        <v>0.5</v>
      </c>
      <c r="S45" s="46">
        <f t="shared" si="5"/>
        <v>4</v>
      </c>
      <c r="T45" s="46">
        <f t="shared" si="6"/>
        <v>0.5</v>
      </c>
      <c r="U45" s="46">
        <f t="shared" si="7"/>
        <v>1.4999999999999998</v>
      </c>
      <c r="V45" s="46">
        <f t="shared" si="8"/>
        <v>1</v>
      </c>
      <c r="W45" s="46">
        <f t="shared" si="9"/>
        <v>0.3</v>
      </c>
      <c r="X45" s="46">
        <f t="shared" si="10"/>
        <v>0.3</v>
      </c>
      <c r="Y45" s="46">
        <f t="shared" si="11"/>
        <v>1</v>
      </c>
      <c r="Z45" s="46">
        <f t="shared" si="12"/>
        <v>9.9999999999999992E-2</v>
      </c>
      <c r="AA45" s="67">
        <f t="shared" si="1"/>
        <v>10.000000000000002</v>
      </c>
      <c r="AB45" s="68">
        <f t="shared" si="13"/>
        <v>352</v>
      </c>
    </row>
    <row r="46" spans="2:28" ht="42">
      <c r="B46" s="40">
        <f t="shared" si="14"/>
        <v>32</v>
      </c>
      <c r="C46" s="41" t="s">
        <v>57</v>
      </c>
      <c r="D46" s="42" t="s">
        <v>58</v>
      </c>
      <c r="E46" s="42"/>
      <c r="F46" s="42"/>
      <c r="G46" s="43" t="s">
        <v>39</v>
      </c>
      <c r="H46" s="43"/>
      <c r="I46" s="43" t="s">
        <v>46</v>
      </c>
      <c r="J46" s="43"/>
      <c r="K46" s="44"/>
      <c r="L46" s="45"/>
      <c r="M46" s="46">
        <v>3</v>
      </c>
      <c r="N46" s="51"/>
      <c r="O46" s="52" t="s">
        <v>42</v>
      </c>
      <c r="P46" s="49">
        <f t="shared" si="2"/>
        <v>0.3</v>
      </c>
      <c r="Q46" s="50">
        <f t="shared" si="3"/>
        <v>0.3</v>
      </c>
      <c r="R46" s="50">
        <f t="shared" si="4"/>
        <v>0.37500000000000006</v>
      </c>
      <c r="S46" s="46">
        <f t="shared" si="5"/>
        <v>3</v>
      </c>
      <c r="T46" s="46">
        <f t="shared" si="6"/>
        <v>0.37500000000000006</v>
      </c>
      <c r="U46" s="46">
        <f t="shared" si="7"/>
        <v>1.1249999999999998</v>
      </c>
      <c r="V46" s="46">
        <f t="shared" si="8"/>
        <v>0.75000000000000011</v>
      </c>
      <c r="W46" s="46">
        <f t="shared" si="9"/>
        <v>0.22499999999999998</v>
      </c>
      <c r="X46" s="46">
        <f t="shared" si="10"/>
        <v>0.22499999999999998</v>
      </c>
      <c r="Y46" s="46">
        <f t="shared" si="11"/>
        <v>0.75000000000000011</v>
      </c>
      <c r="Z46" s="46">
        <f t="shared" si="12"/>
        <v>7.4999999999999997E-2</v>
      </c>
      <c r="AA46" s="67">
        <f t="shared" si="1"/>
        <v>7.5</v>
      </c>
      <c r="AB46" s="68">
        <f t="shared" si="13"/>
        <v>264</v>
      </c>
    </row>
    <row r="47" spans="2:28" ht="31.5">
      <c r="B47" s="40">
        <f t="shared" si="14"/>
        <v>33</v>
      </c>
      <c r="C47" s="41" t="s">
        <v>57</v>
      </c>
      <c r="D47" s="42" t="s">
        <v>59</v>
      </c>
      <c r="E47" s="42"/>
      <c r="F47" s="42"/>
      <c r="G47" s="43" t="s">
        <v>39</v>
      </c>
      <c r="H47" s="43"/>
      <c r="I47" s="43" t="s">
        <v>46</v>
      </c>
      <c r="J47" s="43"/>
      <c r="K47" s="44"/>
      <c r="L47" s="45"/>
      <c r="M47" s="46">
        <v>2</v>
      </c>
      <c r="N47" s="51"/>
      <c r="O47" s="52" t="s">
        <v>42</v>
      </c>
      <c r="P47" s="49">
        <f t="shared" si="2"/>
        <v>0.19999999999999998</v>
      </c>
      <c r="Q47" s="50">
        <f t="shared" si="3"/>
        <v>0.19999999999999998</v>
      </c>
      <c r="R47" s="50">
        <f t="shared" si="4"/>
        <v>0.25</v>
      </c>
      <c r="S47" s="46">
        <f t="shared" si="5"/>
        <v>2</v>
      </c>
      <c r="T47" s="46">
        <f t="shared" si="6"/>
        <v>0.25</v>
      </c>
      <c r="U47" s="46">
        <f t="shared" si="7"/>
        <v>0.74999999999999989</v>
      </c>
      <c r="V47" s="46">
        <f t="shared" si="8"/>
        <v>0.5</v>
      </c>
      <c r="W47" s="46">
        <f t="shared" si="9"/>
        <v>0.15</v>
      </c>
      <c r="X47" s="46">
        <f t="shared" si="10"/>
        <v>0.15</v>
      </c>
      <c r="Y47" s="46">
        <f t="shared" si="11"/>
        <v>0.5</v>
      </c>
      <c r="Z47" s="46">
        <f t="shared" si="12"/>
        <v>4.9999999999999996E-2</v>
      </c>
      <c r="AA47" s="67">
        <f t="shared" si="1"/>
        <v>5.0000000000000009</v>
      </c>
      <c r="AB47" s="68">
        <f t="shared" si="13"/>
        <v>176</v>
      </c>
    </row>
    <row r="48" spans="2:28" ht="31.5">
      <c r="B48" s="40">
        <f t="shared" si="14"/>
        <v>34</v>
      </c>
      <c r="C48" s="41" t="s">
        <v>57</v>
      </c>
      <c r="D48" s="42" t="s">
        <v>89</v>
      </c>
      <c r="E48" s="42"/>
      <c r="F48" s="42"/>
      <c r="G48" s="43" t="s">
        <v>39</v>
      </c>
      <c r="H48" s="43"/>
      <c r="I48" s="43" t="s">
        <v>46</v>
      </c>
      <c r="J48" s="43"/>
      <c r="K48" s="44"/>
      <c r="L48" s="45"/>
      <c r="M48" s="46">
        <v>2</v>
      </c>
      <c r="N48" s="47"/>
      <c r="O48" s="48" t="s">
        <v>42</v>
      </c>
      <c r="P48" s="49">
        <f t="shared" si="2"/>
        <v>0.19999999999999998</v>
      </c>
      <c r="Q48" s="50">
        <f t="shared" si="3"/>
        <v>0.19999999999999998</v>
      </c>
      <c r="R48" s="50">
        <f t="shared" si="4"/>
        <v>0.25</v>
      </c>
      <c r="S48" s="46">
        <f t="shared" si="5"/>
        <v>2</v>
      </c>
      <c r="T48" s="46">
        <f t="shared" si="6"/>
        <v>0.25</v>
      </c>
      <c r="U48" s="46">
        <f t="shared" si="7"/>
        <v>0.74999999999999989</v>
      </c>
      <c r="V48" s="46">
        <f t="shared" si="8"/>
        <v>0.5</v>
      </c>
      <c r="W48" s="46">
        <f t="shared" si="9"/>
        <v>0.15</v>
      </c>
      <c r="X48" s="46">
        <f t="shared" si="10"/>
        <v>0.15</v>
      </c>
      <c r="Y48" s="46">
        <f t="shared" si="11"/>
        <v>0.5</v>
      </c>
      <c r="Z48" s="46">
        <f t="shared" si="12"/>
        <v>4.9999999999999996E-2</v>
      </c>
      <c r="AA48" s="67">
        <f t="shared" si="1"/>
        <v>5.0000000000000009</v>
      </c>
      <c r="AB48" s="68">
        <f t="shared" si="13"/>
        <v>176</v>
      </c>
    </row>
    <row r="49" spans="2:28" ht="31.5">
      <c r="B49" s="40">
        <f t="shared" si="14"/>
        <v>35</v>
      </c>
      <c r="C49" s="41" t="s">
        <v>57</v>
      </c>
      <c r="D49" s="42" t="s">
        <v>60</v>
      </c>
      <c r="E49" s="42"/>
      <c r="F49" s="42"/>
      <c r="G49" s="43" t="s">
        <v>39</v>
      </c>
      <c r="H49" s="43"/>
      <c r="I49" s="43" t="s">
        <v>46</v>
      </c>
      <c r="J49" s="43"/>
      <c r="K49" s="44"/>
      <c r="L49" s="45"/>
      <c r="M49" s="46">
        <v>3</v>
      </c>
      <c r="N49" s="51"/>
      <c r="O49" s="52" t="s">
        <v>42</v>
      </c>
      <c r="P49" s="49">
        <f t="shared" si="2"/>
        <v>0.3</v>
      </c>
      <c r="Q49" s="50">
        <f t="shared" si="3"/>
        <v>0.3</v>
      </c>
      <c r="R49" s="50">
        <f t="shared" si="4"/>
        <v>0.37500000000000006</v>
      </c>
      <c r="S49" s="46">
        <f t="shared" si="5"/>
        <v>3</v>
      </c>
      <c r="T49" s="46">
        <f t="shared" si="6"/>
        <v>0.37500000000000006</v>
      </c>
      <c r="U49" s="46">
        <f t="shared" si="7"/>
        <v>1.1249999999999998</v>
      </c>
      <c r="V49" s="46">
        <f t="shared" si="8"/>
        <v>0.75000000000000011</v>
      </c>
      <c r="W49" s="46">
        <f t="shared" si="9"/>
        <v>0.22499999999999998</v>
      </c>
      <c r="X49" s="46">
        <f t="shared" si="10"/>
        <v>0.22499999999999998</v>
      </c>
      <c r="Y49" s="46">
        <f t="shared" si="11"/>
        <v>0.75000000000000011</v>
      </c>
      <c r="Z49" s="46">
        <f t="shared" si="12"/>
        <v>7.4999999999999997E-2</v>
      </c>
      <c r="AA49" s="67">
        <f t="shared" si="1"/>
        <v>7.5</v>
      </c>
      <c r="AB49" s="68">
        <f t="shared" si="13"/>
        <v>264</v>
      </c>
    </row>
    <row r="50" spans="2:28" ht="63">
      <c r="B50" s="40">
        <f t="shared" si="14"/>
        <v>36</v>
      </c>
      <c r="C50" s="41" t="s">
        <v>57</v>
      </c>
      <c r="D50" s="42" t="s">
        <v>69</v>
      </c>
      <c r="E50" s="42"/>
      <c r="F50" s="42"/>
      <c r="G50" s="43" t="s">
        <v>39</v>
      </c>
      <c r="H50" s="43"/>
      <c r="I50" s="43" t="s">
        <v>46</v>
      </c>
      <c r="J50" s="43"/>
      <c r="K50" s="44"/>
      <c r="L50" s="45"/>
      <c r="M50" s="46">
        <v>4</v>
      </c>
      <c r="N50" s="51"/>
      <c r="O50" s="52" t="s">
        <v>40</v>
      </c>
      <c r="P50" s="49">
        <f t="shared" si="2"/>
        <v>0.39999999999999997</v>
      </c>
      <c r="Q50" s="50">
        <f t="shared" si="3"/>
        <v>0.39999999999999997</v>
      </c>
      <c r="R50" s="50">
        <f t="shared" si="4"/>
        <v>0.5</v>
      </c>
      <c r="S50" s="46">
        <f t="shared" si="5"/>
        <v>4</v>
      </c>
      <c r="T50" s="46">
        <f t="shared" si="6"/>
        <v>0.5</v>
      </c>
      <c r="U50" s="46">
        <f t="shared" si="7"/>
        <v>1.4999999999999998</v>
      </c>
      <c r="V50" s="46">
        <f t="shared" si="8"/>
        <v>1</v>
      </c>
      <c r="W50" s="46">
        <f t="shared" si="9"/>
        <v>0.3</v>
      </c>
      <c r="X50" s="46">
        <f t="shared" si="10"/>
        <v>0.3</v>
      </c>
      <c r="Y50" s="46">
        <f t="shared" si="11"/>
        <v>1</v>
      </c>
      <c r="Z50" s="46">
        <f t="shared" si="12"/>
        <v>9.9999999999999992E-2</v>
      </c>
      <c r="AA50" s="67">
        <f t="shared" si="1"/>
        <v>10.000000000000002</v>
      </c>
      <c r="AB50" s="68">
        <f t="shared" si="13"/>
        <v>352</v>
      </c>
    </row>
    <row r="51" spans="2:28" ht="21">
      <c r="B51" s="40">
        <f t="shared" si="14"/>
        <v>37</v>
      </c>
      <c r="C51" s="41" t="s">
        <v>45</v>
      </c>
      <c r="D51" s="42" t="s">
        <v>90</v>
      </c>
      <c r="E51" s="42"/>
      <c r="F51" s="42"/>
      <c r="G51" s="43" t="s">
        <v>39</v>
      </c>
      <c r="H51" s="43"/>
      <c r="I51" s="43" t="s">
        <v>48</v>
      </c>
      <c r="J51" s="43"/>
      <c r="K51" s="44"/>
      <c r="L51" s="45"/>
      <c r="M51" s="46">
        <v>4</v>
      </c>
      <c r="N51" s="51"/>
      <c r="O51" s="48" t="s">
        <v>40</v>
      </c>
      <c r="P51" s="49">
        <f t="shared" si="2"/>
        <v>0.39999999999999997</v>
      </c>
      <c r="Q51" s="50">
        <f t="shared" si="3"/>
        <v>0.39999999999999997</v>
      </c>
      <c r="R51" s="50">
        <f t="shared" si="4"/>
        <v>0.5</v>
      </c>
      <c r="S51" s="46">
        <f t="shared" si="5"/>
        <v>4</v>
      </c>
      <c r="T51" s="46">
        <f t="shared" si="6"/>
        <v>0.5</v>
      </c>
      <c r="U51" s="46">
        <f t="shared" si="7"/>
        <v>1.4999999999999998</v>
      </c>
      <c r="V51" s="46">
        <f t="shared" si="8"/>
        <v>1</v>
      </c>
      <c r="W51" s="46">
        <f t="shared" si="9"/>
        <v>0.3</v>
      </c>
      <c r="X51" s="46">
        <f t="shared" si="10"/>
        <v>0.3</v>
      </c>
      <c r="Y51" s="46">
        <f t="shared" si="11"/>
        <v>1</v>
      </c>
      <c r="Z51" s="46">
        <f t="shared" si="12"/>
        <v>9.9999999999999992E-2</v>
      </c>
      <c r="AA51" s="67">
        <f t="shared" si="1"/>
        <v>10.000000000000002</v>
      </c>
      <c r="AB51" s="68">
        <f t="shared" si="13"/>
        <v>352</v>
      </c>
    </row>
    <row r="52" spans="2:28" ht="31.5">
      <c r="B52" s="40">
        <f t="shared" si="14"/>
        <v>38</v>
      </c>
      <c r="C52" s="41" t="s">
        <v>45</v>
      </c>
      <c r="D52" s="42" t="s">
        <v>91</v>
      </c>
      <c r="E52" s="42"/>
      <c r="F52" s="42"/>
      <c r="G52" s="43" t="s">
        <v>39</v>
      </c>
      <c r="H52" s="43"/>
      <c r="I52" s="43" t="s">
        <v>48</v>
      </c>
      <c r="J52" s="43"/>
      <c r="K52" s="44"/>
      <c r="L52" s="45"/>
      <c r="M52" s="46">
        <v>7</v>
      </c>
      <c r="N52" s="47"/>
      <c r="O52" s="52" t="s">
        <v>41</v>
      </c>
      <c r="P52" s="49">
        <f t="shared" si="2"/>
        <v>0.70000000000000007</v>
      </c>
      <c r="Q52" s="50">
        <f t="shared" si="3"/>
        <v>0.70000000000000007</v>
      </c>
      <c r="R52" s="50">
        <f t="shared" si="4"/>
        <v>0.875</v>
      </c>
      <c r="S52" s="46">
        <f t="shared" si="5"/>
        <v>7</v>
      </c>
      <c r="T52" s="46">
        <f t="shared" si="6"/>
        <v>0.875</v>
      </c>
      <c r="U52" s="46">
        <f t="shared" si="7"/>
        <v>2.625</v>
      </c>
      <c r="V52" s="46">
        <f t="shared" si="8"/>
        <v>1.75</v>
      </c>
      <c r="W52" s="46">
        <f t="shared" si="9"/>
        <v>0.52499999999999991</v>
      </c>
      <c r="X52" s="46">
        <f t="shared" si="10"/>
        <v>0.52499999999999991</v>
      </c>
      <c r="Y52" s="46">
        <f t="shared" si="11"/>
        <v>1.75</v>
      </c>
      <c r="Z52" s="46">
        <f t="shared" si="12"/>
        <v>0.17500000000000002</v>
      </c>
      <c r="AA52" s="67">
        <f t="shared" si="1"/>
        <v>17.500000000000004</v>
      </c>
      <c r="AB52" s="68">
        <f t="shared" si="13"/>
        <v>616</v>
      </c>
    </row>
    <row r="53" spans="2:28" ht="31.5">
      <c r="B53" s="40">
        <f t="shared" si="14"/>
        <v>39</v>
      </c>
      <c r="C53" s="41" t="s">
        <v>45</v>
      </c>
      <c r="D53" s="42" t="s">
        <v>92</v>
      </c>
      <c r="E53" s="42"/>
      <c r="F53" s="42"/>
      <c r="G53" s="43" t="s">
        <v>39</v>
      </c>
      <c r="H53" s="43"/>
      <c r="I53" s="43" t="s">
        <v>48</v>
      </c>
      <c r="J53" s="43"/>
      <c r="K53" s="44"/>
      <c r="L53" s="45"/>
      <c r="M53" s="46">
        <v>4</v>
      </c>
      <c r="N53" s="51"/>
      <c r="O53" s="52" t="s">
        <v>40</v>
      </c>
      <c r="P53" s="49">
        <f t="shared" si="2"/>
        <v>0.39999999999999997</v>
      </c>
      <c r="Q53" s="50">
        <f t="shared" si="3"/>
        <v>0.39999999999999997</v>
      </c>
      <c r="R53" s="50">
        <f t="shared" si="4"/>
        <v>0.5</v>
      </c>
      <c r="S53" s="46">
        <f t="shared" si="5"/>
        <v>4</v>
      </c>
      <c r="T53" s="46">
        <f t="shared" si="6"/>
        <v>0.5</v>
      </c>
      <c r="U53" s="46">
        <f t="shared" si="7"/>
        <v>1.4999999999999998</v>
      </c>
      <c r="V53" s="46">
        <f t="shared" si="8"/>
        <v>1</v>
      </c>
      <c r="W53" s="46">
        <f t="shared" si="9"/>
        <v>0.3</v>
      </c>
      <c r="X53" s="46">
        <f t="shared" si="10"/>
        <v>0.3</v>
      </c>
      <c r="Y53" s="46">
        <f t="shared" si="11"/>
        <v>1</v>
      </c>
      <c r="Z53" s="46">
        <f t="shared" si="12"/>
        <v>9.9999999999999992E-2</v>
      </c>
      <c r="AA53" s="67">
        <f t="shared" si="1"/>
        <v>10.000000000000002</v>
      </c>
      <c r="AB53" s="68">
        <f t="shared" si="13"/>
        <v>352</v>
      </c>
    </row>
    <row r="54" spans="2:28" ht="31.5">
      <c r="B54" s="40">
        <f t="shared" si="14"/>
        <v>40</v>
      </c>
      <c r="C54" s="41" t="s">
        <v>45</v>
      </c>
      <c r="D54" s="42" t="s">
        <v>93</v>
      </c>
      <c r="E54" s="42"/>
      <c r="F54" s="42"/>
      <c r="G54" s="43" t="s">
        <v>39</v>
      </c>
      <c r="H54" s="43"/>
      <c r="I54" s="43" t="s">
        <v>48</v>
      </c>
      <c r="J54" s="43"/>
      <c r="K54" s="44"/>
      <c r="L54" s="45"/>
      <c r="M54" s="46">
        <v>8</v>
      </c>
      <c r="N54" s="51"/>
      <c r="O54" s="52" t="s">
        <v>41</v>
      </c>
      <c r="P54" s="49">
        <f t="shared" si="2"/>
        <v>0.79999999999999993</v>
      </c>
      <c r="Q54" s="50">
        <f t="shared" si="3"/>
        <v>0.79999999999999993</v>
      </c>
      <c r="R54" s="50">
        <f t="shared" si="4"/>
        <v>1</v>
      </c>
      <c r="S54" s="46">
        <f t="shared" si="5"/>
        <v>8</v>
      </c>
      <c r="T54" s="46">
        <f t="shared" si="6"/>
        <v>1</v>
      </c>
      <c r="U54" s="46">
        <f t="shared" si="7"/>
        <v>2.9999999999999996</v>
      </c>
      <c r="V54" s="46">
        <f t="shared" si="8"/>
        <v>2</v>
      </c>
      <c r="W54" s="46">
        <f t="shared" si="9"/>
        <v>0.6</v>
      </c>
      <c r="X54" s="46">
        <f t="shared" si="10"/>
        <v>0.6</v>
      </c>
      <c r="Y54" s="46">
        <f t="shared" si="11"/>
        <v>2</v>
      </c>
      <c r="Z54" s="46">
        <f t="shared" si="12"/>
        <v>0.19999999999999998</v>
      </c>
      <c r="AA54" s="67">
        <f t="shared" si="1"/>
        <v>20.000000000000004</v>
      </c>
      <c r="AB54" s="68">
        <f t="shared" si="13"/>
        <v>704</v>
      </c>
    </row>
    <row r="55" spans="2:28" ht="31.5">
      <c r="B55" s="40">
        <f t="shared" si="14"/>
        <v>41</v>
      </c>
      <c r="C55" s="41" t="s">
        <v>45</v>
      </c>
      <c r="D55" s="42" t="s">
        <v>94</v>
      </c>
      <c r="E55" s="42"/>
      <c r="F55" s="42"/>
      <c r="G55" s="43" t="s">
        <v>39</v>
      </c>
      <c r="H55" s="43"/>
      <c r="I55" s="43" t="s">
        <v>48</v>
      </c>
      <c r="J55" s="43"/>
      <c r="K55" s="44"/>
      <c r="L55" s="45"/>
      <c r="M55" s="46">
        <v>5</v>
      </c>
      <c r="N55" s="47"/>
      <c r="O55" s="48" t="s">
        <v>40</v>
      </c>
      <c r="P55" s="49">
        <f t="shared" si="2"/>
        <v>0.5</v>
      </c>
      <c r="Q55" s="50">
        <f t="shared" si="3"/>
        <v>0.5</v>
      </c>
      <c r="R55" s="50">
        <f t="shared" si="4"/>
        <v>0.625</v>
      </c>
      <c r="S55" s="46">
        <f t="shared" si="5"/>
        <v>5</v>
      </c>
      <c r="T55" s="46">
        <f t="shared" si="6"/>
        <v>0.625</v>
      </c>
      <c r="U55" s="46">
        <f t="shared" si="7"/>
        <v>1.875</v>
      </c>
      <c r="V55" s="46">
        <f t="shared" si="8"/>
        <v>1.25</v>
      </c>
      <c r="W55" s="46">
        <f t="shared" si="9"/>
        <v>0.37499999999999994</v>
      </c>
      <c r="X55" s="46">
        <f t="shared" si="10"/>
        <v>0.37499999999999994</v>
      </c>
      <c r="Y55" s="46">
        <f t="shared" si="11"/>
        <v>1.25</v>
      </c>
      <c r="Z55" s="46">
        <f t="shared" si="12"/>
        <v>0.125</v>
      </c>
      <c r="AA55" s="67">
        <f t="shared" si="1"/>
        <v>12.5</v>
      </c>
      <c r="AB55" s="68">
        <f t="shared" si="13"/>
        <v>440</v>
      </c>
    </row>
    <row r="56" spans="2:28" ht="21">
      <c r="B56" s="40">
        <f t="shared" si="14"/>
        <v>42</v>
      </c>
      <c r="C56" s="41" t="s">
        <v>45</v>
      </c>
      <c r="D56" s="42" t="s">
        <v>95</v>
      </c>
      <c r="E56" s="42"/>
      <c r="F56" s="42"/>
      <c r="G56" s="43" t="s">
        <v>39</v>
      </c>
      <c r="H56" s="43"/>
      <c r="I56" s="43" t="s">
        <v>48</v>
      </c>
      <c r="J56" s="43"/>
      <c r="K56" s="44"/>
      <c r="L56" s="45"/>
      <c r="M56" s="46">
        <v>5</v>
      </c>
      <c r="N56" s="51"/>
      <c r="O56" s="52" t="s">
        <v>40</v>
      </c>
      <c r="P56" s="49">
        <f t="shared" si="2"/>
        <v>0.5</v>
      </c>
      <c r="Q56" s="50">
        <f t="shared" si="3"/>
        <v>0.5</v>
      </c>
      <c r="R56" s="50">
        <f t="shared" si="4"/>
        <v>0.625</v>
      </c>
      <c r="S56" s="46">
        <f t="shared" si="5"/>
        <v>5</v>
      </c>
      <c r="T56" s="46">
        <f t="shared" si="6"/>
        <v>0.625</v>
      </c>
      <c r="U56" s="46">
        <f t="shared" si="7"/>
        <v>1.875</v>
      </c>
      <c r="V56" s="46">
        <f t="shared" si="8"/>
        <v>1.25</v>
      </c>
      <c r="W56" s="46">
        <f t="shared" si="9"/>
        <v>0.37499999999999994</v>
      </c>
      <c r="X56" s="46">
        <f t="shared" si="10"/>
        <v>0.37499999999999994</v>
      </c>
      <c r="Y56" s="46">
        <f t="shared" si="11"/>
        <v>1.25</v>
      </c>
      <c r="Z56" s="46">
        <f t="shared" si="12"/>
        <v>0.125</v>
      </c>
      <c r="AA56" s="67">
        <f t="shared" si="1"/>
        <v>12.5</v>
      </c>
      <c r="AB56" s="68">
        <f t="shared" si="13"/>
        <v>440</v>
      </c>
    </row>
    <row r="57" spans="2:28" ht="21">
      <c r="B57" s="40">
        <f t="shared" si="14"/>
        <v>43</v>
      </c>
      <c r="C57" s="41" t="s">
        <v>45</v>
      </c>
      <c r="D57" s="42" t="s">
        <v>96</v>
      </c>
      <c r="E57" s="42"/>
      <c r="F57" s="42"/>
      <c r="G57" s="43" t="s">
        <v>39</v>
      </c>
      <c r="H57" s="43"/>
      <c r="I57" s="43" t="s">
        <v>48</v>
      </c>
      <c r="J57" s="43"/>
      <c r="K57" s="44"/>
      <c r="L57" s="45"/>
      <c r="M57" s="46">
        <v>4</v>
      </c>
      <c r="N57" s="47"/>
      <c r="O57" s="48" t="s">
        <v>40</v>
      </c>
      <c r="P57" s="49">
        <f t="shared" si="2"/>
        <v>0.39999999999999997</v>
      </c>
      <c r="Q57" s="50">
        <f t="shared" si="3"/>
        <v>0.39999999999999997</v>
      </c>
      <c r="R57" s="50">
        <f t="shared" si="4"/>
        <v>0.5</v>
      </c>
      <c r="S57" s="46">
        <f t="shared" si="5"/>
        <v>4</v>
      </c>
      <c r="T57" s="46">
        <f t="shared" si="6"/>
        <v>0.5</v>
      </c>
      <c r="U57" s="46">
        <f t="shared" si="7"/>
        <v>1.4999999999999998</v>
      </c>
      <c r="V57" s="46">
        <f t="shared" si="8"/>
        <v>1</v>
      </c>
      <c r="W57" s="46">
        <f t="shared" si="9"/>
        <v>0.3</v>
      </c>
      <c r="X57" s="46">
        <f t="shared" si="10"/>
        <v>0.3</v>
      </c>
      <c r="Y57" s="46">
        <f t="shared" si="11"/>
        <v>1</v>
      </c>
      <c r="Z57" s="46">
        <f t="shared" si="12"/>
        <v>9.9999999999999992E-2</v>
      </c>
      <c r="AA57" s="67">
        <f t="shared" si="1"/>
        <v>10.000000000000002</v>
      </c>
      <c r="AB57" s="68">
        <f t="shared" si="13"/>
        <v>352</v>
      </c>
    </row>
    <row r="58" spans="2:28" ht="31.5">
      <c r="B58" s="40">
        <f t="shared" si="14"/>
        <v>44</v>
      </c>
      <c r="C58" s="41" t="s">
        <v>45</v>
      </c>
      <c r="D58" s="42" t="s">
        <v>97</v>
      </c>
      <c r="E58" s="42"/>
      <c r="F58" s="42"/>
      <c r="G58" s="43" t="s">
        <v>39</v>
      </c>
      <c r="H58" s="43"/>
      <c r="I58" s="43" t="s">
        <v>48</v>
      </c>
      <c r="J58" s="43"/>
      <c r="K58" s="44"/>
      <c r="L58" s="45"/>
      <c r="M58" s="46">
        <v>5</v>
      </c>
      <c r="N58" s="51"/>
      <c r="O58" s="52" t="s">
        <v>40</v>
      </c>
      <c r="P58" s="49">
        <f t="shared" si="2"/>
        <v>0.5</v>
      </c>
      <c r="Q58" s="50">
        <f t="shared" si="3"/>
        <v>0.5</v>
      </c>
      <c r="R58" s="50">
        <f t="shared" si="4"/>
        <v>0.625</v>
      </c>
      <c r="S58" s="46">
        <f t="shared" si="5"/>
        <v>5</v>
      </c>
      <c r="T58" s="46">
        <f t="shared" si="6"/>
        <v>0.625</v>
      </c>
      <c r="U58" s="46">
        <f t="shared" si="7"/>
        <v>1.875</v>
      </c>
      <c r="V58" s="46">
        <f t="shared" si="8"/>
        <v>1.25</v>
      </c>
      <c r="W58" s="46">
        <f t="shared" si="9"/>
        <v>0.37499999999999994</v>
      </c>
      <c r="X58" s="46">
        <f t="shared" si="10"/>
        <v>0.37499999999999994</v>
      </c>
      <c r="Y58" s="46">
        <f t="shared" si="11"/>
        <v>1.25</v>
      </c>
      <c r="Z58" s="46">
        <f t="shared" si="12"/>
        <v>0.125</v>
      </c>
      <c r="AA58" s="67">
        <f t="shared" si="1"/>
        <v>12.5</v>
      </c>
      <c r="AB58" s="68">
        <f t="shared" si="13"/>
        <v>440</v>
      </c>
    </row>
    <row r="59" spans="2:28" ht="21">
      <c r="B59" s="40">
        <f t="shared" si="14"/>
        <v>45</v>
      </c>
      <c r="C59" s="41" t="s">
        <v>45</v>
      </c>
      <c r="D59" s="42" t="s">
        <v>98</v>
      </c>
      <c r="E59" s="42"/>
      <c r="F59" s="42"/>
      <c r="G59" s="43" t="s">
        <v>39</v>
      </c>
      <c r="H59" s="43"/>
      <c r="I59" s="43" t="s">
        <v>48</v>
      </c>
      <c r="J59" s="43"/>
      <c r="K59" s="44"/>
      <c r="L59" s="45"/>
      <c r="M59" s="46">
        <v>4</v>
      </c>
      <c r="N59" s="51"/>
      <c r="O59" s="52" t="s">
        <v>40</v>
      </c>
      <c r="P59" s="49">
        <f t="shared" si="2"/>
        <v>0.39999999999999997</v>
      </c>
      <c r="Q59" s="50">
        <f t="shared" si="3"/>
        <v>0.39999999999999997</v>
      </c>
      <c r="R59" s="50">
        <f t="shared" si="4"/>
        <v>0.5</v>
      </c>
      <c r="S59" s="46">
        <f t="shared" si="5"/>
        <v>4</v>
      </c>
      <c r="T59" s="46">
        <f t="shared" si="6"/>
        <v>0.5</v>
      </c>
      <c r="U59" s="46">
        <f t="shared" si="7"/>
        <v>1.4999999999999998</v>
      </c>
      <c r="V59" s="46">
        <f t="shared" si="8"/>
        <v>1</v>
      </c>
      <c r="W59" s="46">
        <f t="shared" si="9"/>
        <v>0.3</v>
      </c>
      <c r="X59" s="46">
        <f t="shared" si="10"/>
        <v>0.3</v>
      </c>
      <c r="Y59" s="46">
        <f t="shared" si="11"/>
        <v>1</v>
      </c>
      <c r="Z59" s="46">
        <f t="shared" si="12"/>
        <v>9.9999999999999992E-2</v>
      </c>
      <c r="AA59" s="67">
        <f t="shared" si="1"/>
        <v>10.000000000000002</v>
      </c>
      <c r="AB59" s="68">
        <f t="shared" si="13"/>
        <v>352</v>
      </c>
    </row>
    <row r="60" spans="2:28" ht="31.5">
      <c r="B60" s="40">
        <f t="shared" si="14"/>
        <v>46</v>
      </c>
      <c r="C60" s="41" t="s">
        <v>45</v>
      </c>
      <c r="D60" s="42" t="s">
        <v>99</v>
      </c>
      <c r="E60" s="42"/>
      <c r="F60" s="42"/>
      <c r="G60" s="43" t="s">
        <v>39</v>
      </c>
      <c r="H60" s="43"/>
      <c r="I60" s="43" t="s">
        <v>48</v>
      </c>
      <c r="J60" s="43"/>
      <c r="K60" s="44"/>
      <c r="L60" s="45"/>
      <c r="M60" s="46">
        <v>3</v>
      </c>
      <c r="N60" s="47"/>
      <c r="O60" s="48" t="s">
        <v>42</v>
      </c>
      <c r="P60" s="49">
        <f t="shared" si="2"/>
        <v>0.3</v>
      </c>
      <c r="Q60" s="50">
        <f t="shared" si="3"/>
        <v>0.3</v>
      </c>
      <c r="R60" s="50">
        <f t="shared" si="4"/>
        <v>0.37500000000000006</v>
      </c>
      <c r="S60" s="46">
        <f t="shared" si="5"/>
        <v>3</v>
      </c>
      <c r="T60" s="46">
        <f t="shared" si="6"/>
        <v>0.37500000000000006</v>
      </c>
      <c r="U60" s="46">
        <f t="shared" si="7"/>
        <v>1.1249999999999998</v>
      </c>
      <c r="V60" s="46">
        <f t="shared" si="8"/>
        <v>0.75000000000000011</v>
      </c>
      <c r="W60" s="46">
        <f t="shared" si="9"/>
        <v>0.22499999999999998</v>
      </c>
      <c r="X60" s="46">
        <f t="shared" si="10"/>
        <v>0.22499999999999998</v>
      </c>
      <c r="Y60" s="46">
        <f t="shared" si="11"/>
        <v>0.75000000000000011</v>
      </c>
      <c r="Z60" s="46">
        <f t="shared" si="12"/>
        <v>7.4999999999999997E-2</v>
      </c>
      <c r="AA60" s="67">
        <f t="shared" si="1"/>
        <v>7.5</v>
      </c>
      <c r="AB60" s="68">
        <f t="shared" si="13"/>
        <v>264</v>
      </c>
    </row>
    <row r="61" spans="2:28" ht="21">
      <c r="B61" s="40">
        <f t="shared" si="14"/>
        <v>47</v>
      </c>
      <c r="C61" s="41" t="s">
        <v>45</v>
      </c>
      <c r="D61" s="42" t="s">
        <v>100</v>
      </c>
      <c r="E61" s="42"/>
      <c r="F61" s="42"/>
      <c r="G61" s="43" t="s">
        <v>39</v>
      </c>
      <c r="H61" s="43"/>
      <c r="I61" s="43" t="s">
        <v>48</v>
      </c>
      <c r="J61" s="43"/>
      <c r="K61" s="44"/>
      <c r="L61" s="45"/>
      <c r="M61" s="46">
        <v>3</v>
      </c>
      <c r="N61" s="51"/>
      <c r="O61" s="52" t="s">
        <v>42</v>
      </c>
      <c r="P61" s="49">
        <f t="shared" si="2"/>
        <v>0.3</v>
      </c>
      <c r="Q61" s="50">
        <f t="shared" si="3"/>
        <v>0.3</v>
      </c>
      <c r="R61" s="50">
        <f t="shared" si="4"/>
        <v>0.37500000000000006</v>
      </c>
      <c r="S61" s="46">
        <f t="shared" si="5"/>
        <v>3</v>
      </c>
      <c r="T61" s="46">
        <f t="shared" si="6"/>
        <v>0.37500000000000006</v>
      </c>
      <c r="U61" s="46">
        <f t="shared" si="7"/>
        <v>1.1249999999999998</v>
      </c>
      <c r="V61" s="46">
        <f t="shared" si="8"/>
        <v>0.75000000000000011</v>
      </c>
      <c r="W61" s="46">
        <f t="shared" si="9"/>
        <v>0.22499999999999998</v>
      </c>
      <c r="X61" s="46">
        <f t="shared" si="10"/>
        <v>0.22499999999999998</v>
      </c>
      <c r="Y61" s="46">
        <f t="shared" si="11"/>
        <v>0.75000000000000011</v>
      </c>
      <c r="Z61" s="46">
        <f t="shared" si="12"/>
        <v>7.4999999999999997E-2</v>
      </c>
      <c r="AA61" s="67">
        <f t="shared" si="1"/>
        <v>7.5</v>
      </c>
      <c r="AB61" s="68">
        <f t="shared" si="13"/>
        <v>264</v>
      </c>
    </row>
    <row r="62" spans="2:28" ht="34.9" customHeight="1">
      <c r="B62" s="40">
        <f t="shared" si="14"/>
        <v>48</v>
      </c>
      <c r="C62" s="41" t="s">
        <v>45</v>
      </c>
      <c r="D62" s="42" t="s">
        <v>101</v>
      </c>
      <c r="E62" s="42"/>
      <c r="F62" s="42"/>
      <c r="G62" s="43" t="s">
        <v>39</v>
      </c>
      <c r="H62" s="43"/>
      <c r="I62" s="43" t="s">
        <v>48</v>
      </c>
      <c r="J62" s="43"/>
      <c r="K62" s="44"/>
      <c r="L62" s="45"/>
      <c r="M62" s="46">
        <v>3</v>
      </c>
      <c r="N62" s="51"/>
      <c r="O62" s="52" t="s">
        <v>42</v>
      </c>
      <c r="P62" s="49">
        <f t="shared" si="2"/>
        <v>0.3</v>
      </c>
      <c r="Q62" s="50">
        <f t="shared" si="3"/>
        <v>0.3</v>
      </c>
      <c r="R62" s="50">
        <f t="shared" si="4"/>
        <v>0.37500000000000006</v>
      </c>
      <c r="S62" s="46">
        <f t="shared" si="5"/>
        <v>3</v>
      </c>
      <c r="T62" s="46">
        <f t="shared" si="6"/>
        <v>0.37500000000000006</v>
      </c>
      <c r="U62" s="46">
        <f t="shared" si="7"/>
        <v>1.1249999999999998</v>
      </c>
      <c r="V62" s="46">
        <f t="shared" si="8"/>
        <v>0.75000000000000011</v>
      </c>
      <c r="W62" s="46">
        <f t="shared" si="9"/>
        <v>0.22499999999999998</v>
      </c>
      <c r="X62" s="46">
        <f t="shared" si="10"/>
        <v>0.22499999999999998</v>
      </c>
      <c r="Y62" s="46">
        <f t="shared" si="11"/>
        <v>0.75000000000000011</v>
      </c>
      <c r="Z62" s="46">
        <f t="shared" si="12"/>
        <v>7.4999999999999997E-2</v>
      </c>
      <c r="AA62" s="67">
        <f t="shared" si="1"/>
        <v>7.5</v>
      </c>
      <c r="AB62" s="68">
        <f t="shared" si="13"/>
        <v>264</v>
      </c>
    </row>
    <row r="63" spans="2:28" ht="21">
      <c r="B63" s="40">
        <f t="shared" si="14"/>
        <v>49</v>
      </c>
      <c r="C63" s="41" t="s">
        <v>45</v>
      </c>
      <c r="D63" s="42" t="s">
        <v>102</v>
      </c>
      <c r="E63" s="42"/>
      <c r="F63" s="42"/>
      <c r="G63" s="43" t="s">
        <v>39</v>
      </c>
      <c r="H63" s="43"/>
      <c r="I63" s="43" t="s">
        <v>48</v>
      </c>
      <c r="J63" s="43"/>
      <c r="K63" s="44"/>
      <c r="L63" s="45"/>
      <c r="M63" s="46">
        <v>4</v>
      </c>
      <c r="N63" s="47"/>
      <c r="O63" s="48" t="s">
        <v>40</v>
      </c>
      <c r="P63" s="49">
        <f t="shared" si="2"/>
        <v>0.39999999999999997</v>
      </c>
      <c r="Q63" s="50">
        <f t="shared" si="3"/>
        <v>0.39999999999999997</v>
      </c>
      <c r="R63" s="50">
        <f t="shared" si="4"/>
        <v>0.5</v>
      </c>
      <c r="S63" s="46">
        <f t="shared" si="5"/>
        <v>4</v>
      </c>
      <c r="T63" s="46">
        <f t="shared" si="6"/>
        <v>0.5</v>
      </c>
      <c r="U63" s="46">
        <f t="shared" si="7"/>
        <v>1.4999999999999998</v>
      </c>
      <c r="V63" s="46">
        <f t="shared" si="8"/>
        <v>1</v>
      </c>
      <c r="W63" s="46">
        <f t="shared" si="9"/>
        <v>0.3</v>
      </c>
      <c r="X63" s="46">
        <f t="shared" si="10"/>
        <v>0.3</v>
      </c>
      <c r="Y63" s="46">
        <f t="shared" si="11"/>
        <v>1</v>
      </c>
      <c r="Z63" s="46">
        <f t="shared" si="12"/>
        <v>9.9999999999999992E-2</v>
      </c>
      <c r="AA63" s="67">
        <f t="shared" si="1"/>
        <v>10.000000000000002</v>
      </c>
      <c r="AB63" s="68">
        <f t="shared" si="13"/>
        <v>352</v>
      </c>
    </row>
    <row r="64" spans="2:28" ht="21">
      <c r="B64" s="40">
        <f t="shared" si="14"/>
        <v>50</v>
      </c>
      <c r="C64" s="41" t="s">
        <v>45</v>
      </c>
      <c r="D64" s="42" t="s">
        <v>103</v>
      </c>
      <c r="E64" s="42"/>
      <c r="F64" s="42"/>
      <c r="G64" s="43" t="s">
        <v>39</v>
      </c>
      <c r="H64" s="43"/>
      <c r="I64" s="43" t="s">
        <v>48</v>
      </c>
      <c r="J64" s="43"/>
      <c r="K64" s="44"/>
      <c r="L64" s="45"/>
      <c r="M64" s="46">
        <v>6</v>
      </c>
      <c r="N64" s="51"/>
      <c r="O64" s="52" t="s">
        <v>40</v>
      </c>
      <c r="P64" s="49">
        <f>S64*$P$12/$S$12</f>
        <v>0.6</v>
      </c>
      <c r="Q64" s="50">
        <f t="shared" si="3"/>
        <v>0.6</v>
      </c>
      <c r="R64" s="50">
        <f t="shared" si="4"/>
        <v>0.75000000000000011</v>
      </c>
      <c r="S64" s="46">
        <f t="shared" si="5"/>
        <v>6</v>
      </c>
      <c r="T64" s="46">
        <f t="shared" si="6"/>
        <v>0.75000000000000011</v>
      </c>
      <c r="U64" s="46">
        <f t="shared" si="7"/>
        <v>2.2499999999999996</v>
      </c>
      <c r="V64" s="46">
        <f t="shared" si="8"/>
        <v>1.5000000000000002</v>
      </c>
      <c r="W64" s="46">
        <f t="shared" si="9"/>
        <v>0.44999999999999996</v>
      </c>
      <c r="X64" s="46">
        <f t="shared" si="10"/>
        <v>0.44999999999999996</v>
      </c>
      <c r="Y64" s="46">
        <f t="shared" si="11"/>
        <v>1.5000000000000002</v>
      </c>
      <c r="Z64" s="46">
        <f t="shared" si="12"/>
        <v>0.15</v>
      </c>
      <c r="AA64" s="67">
        <f t="shared" si="1"/>
        <v>15</v>
      </c>
      <c r="AB64" s="68">
        <f t="shared" si="13"/>
        <v>528</v>
      </c>
    </row>
    <row r="65" spans="14:27">
      <c r="N65" s="70"/>
      <c r="O65" s="69" t="s">
        <v>51</v>
      </c>
      <c r="P65" s="78">
        <f>SUM(P15:P64)*80</f>
        <v>1688</v>
      </c>
      <c r="Q65" s="79">
        <f>SUM(Q15:Q64)*100</f>
        <v>2110</v>
      </c>
      <c r="R65" s="80">
        <f t="shared" ref="R65:Z65" si="15">SUM(R15:R64)*40</f>
        <v>1055</v>
      </c>
      <c r="S65" s="79">
        <f t="shared" si="15"/>
        <v>8440</v>
      </c>
      <c r="T65" s="79">
        <f t="shared" si="15"/>
        <v>1055</v>
      </c>
      <c r="U65" s="79">
        <f t="shared" si="15"/>
        <v>3165</v>
      </c>
      <c r="V65" s="79">
        <f t="shared" si="15"/>
        <v>2110</v>
      </c>
      <c r="W65" s="79">
        <f t="shared" si="15"/>
        <v>633</v>
      </c>
      <c r="X65" s="79">
        <f t="shared" si="15"/>
        <v>633</v>
      </c>
      <c r="Y65" s="79">
        <f t="shared" si="15"/>
        <v>2110</v>
      </c>
      <c r="Z65" s="79">
        <f t="shared" si="15"/>
        <v>211</v>
      </c>
      <c r="AA65" s="71"/>
    </row>
    <row r="65527" spans="8:8">
      <c r="H65527" s="43"/>
    </row>
  </sheetData>
  <sheetProtection selectLockedCells="1" selectUnlockedCells="1"/>
  <autoFilter ref="B14:AA64" xr:uid="{00000000-0009-0000-0000-000000000000}"/>
  <mergeCells count="18">
    <mergeCell ref="Q8:S8"/>
    <mergeCell ref="B2:D2"/>
    <mergeCell ref="F2:G2"/>
    <mergeCell ref="B3:D3"/>
    <mergeCell ref="F3:G3"/>
    <mergeCell ref="B4:F5"/>
    <mergeCell ref="P5:S5"/>
    <mergeCell ref="B6:F6"/>
    <mergeCell ref="Q6:S6"/>
    <mergeCell ref="B7:F7"/>
    <mergeCell ref="Q7:S7"/>
    <mergeCell ref="B8:D8"/>
    <mergeCell ref="F8:I8"/>
    <mergeCell ref="B9:D9"/>
    <mergeCell ref="B11:K13"/>
    <mergeCell ref="M11:N11"/>
    <mergeCell ref="O13:AA13"/>
    <mergeCell ref="F9:I9"/>
  </mergeCells>
  <pageMargins left="0.75" right="0.75" top="1" bottom="1" header="0.51180555555555551" footer="0.51180555555555551"/>
  <pageSetup firstPageNumber="0" orientation="portrait" horizontalDpi="300" verticalDpi="30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Detalle Estimaciones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Nestor Zamora Guevara</dc:creator>
  <cp:keywords/>
  <dc:description/>
  <cp:lastModifiedBy>RODRIGUEZ LUNA TAMARA NICOLE</cp:lastModifiedBy>
  <cp:revision/>
  <dcterms:created xsi:type="dcterms:W3CDTF">2011-06-07T19:47:42Z</dcterms:created>
  <dcterms:modified xsi:type="dcterms:W3CDTF">2023-10-14T05:18:39Z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ce60c102-62ba-4951-8656-93b32f1a4cdc</vt:lpwstr>
  </property>
</Properties>
</file>